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fd4e1f4c348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O Sammlung" sheetId="1" r:id="Rbf8a0b6659124bea"/>
    <x:sheet xmlns:r="http://schemas.openxmlformats.org/officeDocument/2006/relationships" name="Auswertung" sheetId="2" r:id="Re3a94afba8364e9d"/>
    <x:sheet xmlns:r="http://schemas.openxmlformats.org/officeDocument/2006/relationships" name="Übersicht" sheetId="3" r:id="R35c02c98da504308"/>
    <x:sheet xmlns:r="http://schemas.openxmlformats.org/officeDocument/2006/relationships" name="Maße &amp; Planung" sheetId="4" r:id="R2aca4e006ca6426c"/>
    <x:sheet xmlns:r="http://schemas.openxmlformats.org/officeDocument/2006/relationships" name="Grundriss 8x6 Module" sheetId="5" r:id="R7910ef50ff85488e"/>
    <x:sheet xmlns:r="http://schemas.openxmlformats.org/officeDocument/2006/relationships" name="Gleisplan Konzept" sheetId="6" r:id="R4b28159af9054837"/>
    <x:sheet xmlns:r="http://schemas.openxmlformats.org/officeDocument/2006/relationships" name="Module &amp; Tische" sheetId="7" r:id="Rf602565b20e845f9"/>
    <x:sheet xmlns:r="http://schemas.openxmlformats.org/officeDocument/2006/relationships" name="Set-Platzierung" sheetId="8" r:id="R0285a7d5116c4707"/>
    <x:sheet xmlns:r="http://schemas.openxmlformats.org/officeDocument/2006/relationships" name="Bau-Reihenfolge" sheetId="9" r:id="R3f597c0d843b4b46"/>
    <x:sheet xmlns:r="http://schemas.openxmlformats.org/officeDocument/2006/relationships" name="Detaillierter Gleisplan" sheetId="10" r:id="R2db6c985794b47cd"/>
    <x:sheet xmlns:r="http://schemas.openxmlformats.org/officeDocument/2006/relationships" name="Fehlende Sets" sheetId="11" r:id="Rdc7cf88e39d54f87"/>
    <x:sheet xmlns:r="http://schemas.openxmlformats.org/officeDocument/2006/relationships" name="Neue Sets hinzufügen" sheetId="12" r:id="Ra1fa5f7fc564443a"/>
    <x:sheet xmlns:r="http://schemas.openxmlformats.org/officeDocument/2006/relationships" name="Einkaufsliste" sheetId="13" r:id="R358cee04b36d4da4"/>
    <x:sheet xmlns:r="http://schemas.openxmlformats.org/officeDocument/2006/relationships" name="Projekt-Referenz" sheetId="14" r:id="Rb6670c3ba611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 [$€-de-DE]"/>
    <x:numFmt numFmtId="201" formatCode="0"/>
    <x:numFmt numFmtId="202" formatCode="0.0"/>
    <x:numFmt numFmtId="203" formatCode="0.00%"/>
    <x:numFmt numFmtId="204" formatCode="0.0000"/>
    <x:numFmt numFmtId="205" formatCode="0.00"/>
    <x:numFmt numFmtId="206" formatCode="0.0%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2"/>
      <x:name val="Carlito"/>
    </x:font>
    <x:font>
      <x:b/>
      <x:sz val="13"/>
      <x:name val="Carlito"/>
    </x:font>
    <x:font>
      <x:i/>
      <x:sz val="11"/>
      <x:name val="Carlito"/>
    </x:font>
    <x:font>
      <x:b/>
      <x:sz val="15"/>
      <x:color rgb="FFFFFFFF"/>
      <x:name val="Carlito"/>
    </x:font>
  </x:fonts>
  <x:fills count="2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D9D2E9"/>
      </x:patternFill>
    </x:fill>
    <x:fill>
      <x:patternFill patternType="solid">
        <x:fgColor rgb="FFC9DAF8"/>
      </x:patternFill>
    </x:fill>
    <x:fill>
      <x:patternFill patternType="solid">
        <x:fgColor rgb="FFCFE2F3"/>
      </x:patternFill>
    </x:fill>
    <x:fill>
      <x:patternFill patternType="solid">
        <x:fgColor rgb="FFE7E6E6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EAD1DC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1">
    <x:border/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1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204" fontId="0" fillId="0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2" xfId="0" applyNumberFormat="1" applyFont="1" applyFill="1" applyBorder="1"/>
    <x:xf numFmtId="0" fontId="4" fillId="11" borderId="2" xfId="0" applyNumberFormat="1" applyFont="1" applyFill="1" applyBorder="1" applyAlignment="1">
      <x:alignment horizontal="center"/>
    </x:xf>
    <x:xf numFmtId="0" fontId="4" fillId="11" borderId="2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2" xfId="0" applyNumberFormat="1" applyFont="1" applyFill="1" applyBorder="1"/>
    <x:xf numFmtId="0" fontId="4" fillId="12" borderId="2" xfId="0" applyNumberFormat="1" applyFont="1" applyFill="1" applyBorder="1" applyAlignment="1">
      <x:alignment horizontal="center"/>
    </x:xf>
    <x:xf numFmtId="0" fontId="4" fillId="12" borderId="2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2" xfId="0" applyNumberFormat="1" applyFont="1" applyFill="1" applyBorder="1"/>
    <x:xf numFmtId="0" fontId="4" fillId="13" borderId="2" xfId="0" applyNumberFormat="1" applyFont="1" applyFill="1" applyBorder="1" applyAlignment="1">
      <x:alignment horizontal="center"/>
    </x:xf>
    <x:xf numFmtId="0" fontId="4" fillId="13" borderId="2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2" xfId="0" applyNumberFormat="1" applyFont="1" applyFill="1" applyBorder="1"/>
    <x:xf numFmtId="0" fontId="4" fillId="14" borderId="2" xfId="0" applyNumberFormat="1" applyFont="1" applyFill="1" applyBorder="1" applyAlignment="1">
      <x:alignment horizontal="center"/>
    </x:xf>
    <x:xf numFmtId="0" fontId="4" fillId="14" borderId="2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2" xfId="0" applyNumberFormat="1" applyFont="1" applyFill="1" applyBorder="1"/>
    <x:xf numFmtId="0" fontId="4" fillId="15" borderId="2" xfId="0" applyNumberFormat="1" applyFont="1" applyFill="1" applyBorder="1" applyAlignment="1">
      <x:alignment horizontal="center"/>
    </x:xf>
    <x:xf numFmtId="0" fontId="4" fillId="15" borderId="2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2" xfId="0" applyNumberFormat="1" applyFont="1" applyFill="1" applyBorder="1"/>
    <x:xf numFmtId="0" fontId="4" fillId="16" borderId="2" xfId="0" applyNumberFormat="1" applyFont="1" applyFill="1" applyBorder="1" applyAlignment="1">
      <x:alignment horizontal="center"/>
    </x:xf>
    <x:xf numFmtId="0" fontId="4" fillId="16" borderId="2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2" xfId="0" applyNumberFormat="1" applyFont="1" applyFill="1" applyBorder="1"/>
    <x:xf numFmtId="0" fontId="4" fillId="17" borderId="2" xfId="0" applyNumberFormat="1" applyFont="1" applyFill="1" applyBorder="1" applyAlignment="1">
      <x:alignment horizontal="center"/>
    </x:xf>
    <x:xf numFmtId="0" fontId="4" fillId="17" borderId="2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2" xfId="0" applyNumberFormat="1" applyFont="1" applyFill="1" applyBorder="1"/>
    <x:xf numFmtId="0" fontId="4" fillId="18" borderId="2" xfId="0" applyNumberFormat="1" applyFont="1" applyFill="1" applyBorder="1" applyAlignment="1">
      <x:alignment horizontal="center"/>
    </x:xf>
    <x:xf numFmtId="0" fontId="4" fillId="18" borderId="2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4" fillId="19" borderId="2" xfId="0" applyNumberFormat="1" applyFont="1" applyFill="1" applyBorder="1"/>
    <x:xf numFmtId="0" fontId="4" fillId="19" borderId="2" xfId="0" applyNumberFormat="1" applyFont="1" applyFill="1" applyBorder="1" applyAlignment="1">
      <x:alignment horizontal="center"/>
    </x:xf>
    <x:xf numFmtId="0" fontId="4" fillId="19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xfId="0" applyNumberFormat="1" applyFont="1" applyFill="1" applyBorder="0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3" xfId="0" applyNumberFormat="1" applyFont="1" applyFill="1" applyBorder="1" applyAlignment="1">
      <x:alignment horizontal="center"/>
    </x:xf>
    <x:xf numFmtId="0" fontId="5" fillId="0" borderId="4" xfId="0" applyNumberFormat="1" applyFont="1" applyFill="1" applyBorder="1" applyAlignment="1">
      <x:alignment horizontal="center"/>
    </x:xf>
    <x:xf numFmtId="0" fontId="5" fillId="0" borderId="5" xfId="0" applyNumberFormat="1" applyFont="1" applyFill="1" applyBorder="1" applyAlignment="1">
      <x:alignment horizontal="center"/>
    </x:xf>
    <x:xf numFmtId="0" fontId="5" fillId="0" borderId="6" xfId="0" applyNumberFormat="1" applyFont="1" applyFill="1" applyBorder="1" applyAlignment="1">
      <x:alignment horizontal="center"/>
    </x:xf>
    <x:xf numFmtId="0" fontId="5" fillId="0" xfId="0" applyNumberFormat="1" applyFont="1" applyFill="1" applyBorder="0" applyAlignment="1">
      <x:alignment horizontal="center"/>
    </x:xf>
    <x:xf numFmtId="0" fontId="5" fillId="0" borderId="7" xfId="0" applyNumberFormat="1" applyFont="1" applyFill="1" applyBorder="1" applyAlignment="1">
      <x:alignment horizontal="center"/>
    </x:xf>
    <x:xf numFmtId="0" fontId="5" fillId="0" borderId="8" xfId="0" applyNumberFormat="1" applyFont="1" applyFill="1" applyBorder="1" applyAlignment="1">
      <x:alignment horizontal="center"/>
    </x:xf>
    <x:xf numFmtId="0" fontId="5" fillId="0" borderId="9" xfId="0" applyNumberFormat="1" applyFont="1" applyFill="1" applyBorder="1" applyAlignment="1">
      <x:alignment horizontal="center"/>
    </x:xf>
    <x:xf numFmtId="0" fontId="5" fillId="0" borderId="10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xfId="0" applyNumberFormat="1" applyFont="1" applyFill="1" applyBorder="0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 vertical="center"/>
    </x:xf>
    <x:xf numFmtId="0" fontId="5" fillId="0" borderId="1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horizontal="center"/>
    </x:xf>
    <x:xf numFmtId="0" fontId="2" fillId="20" borderId="0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horizontal="center"/>
    </x:xf>
    <x:xf numFmtId="0" fontId="2" fillId="22" borderId="0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2" fillId="24" borderId="0" xfId="0" applyNumberFormat="1" applyFont="1" applyFill="1" applyBorder="1"/>
    <x:xf numFmtId="0" fontId="2" fillId="24" borderId="0" xfId="0" applyNumberFormat="1" applyFont="1" applyFill="1" applyBorder="1" applyAlignment="1">
      <x:alignment horizontal="center"/>
    </x:xf>
    <x:xf numFmtId="0" fontId="2" fillId="24" borderId="0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0" xfId="0" applyNumberFormat="1" applyFont="1" applyFill="1" applyBorder="1" applyAlignment="1">
      <x:alignment horizontal="center"/>
    </x:xf>
    <x:xf numFmtId="0" fontId="2" fillId="26" borderId="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6" fillId="27" borderId="0" xfId="0" applyNumberFormat="1" applyFont="1" applyFill="1" applyBorder="1"/>
    <x:xf numFmtId="0" fontId="6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wrapText="1"/>
    </x:xf>
    <x:xf numFmtId="0" fontId="3" fillId="28" borderId="0" xfId="0" applyNumberFormat="1" applyFont="1" applyFill="1" applyBorder="1" applyAlignment="1">
      <x:alignment horizontal="center" wrapText="1"/>
    </x:xf>
    <x:xf numFmtId="0" fontId="3" fillId="28" borderId="0" xfId="0" applyNumberFormat="1" applyFont="1" applyFill="1" applyBorder="1" applyAlignment="1">
      <x:alignment horizontal="center" vertical="center" wrapText="1"/>
    </x:xf>
    <x:xf numFmtId="0" fontId="1" fillId="26" borderId="0" xfId="0" applyNumberFormat="1" applyFont="1" applyFill="1" applyBorder="1"/>
    <x:xf numFmtId="201" fontId="0" fillId="0" borderId="0" xfId="0" applyNumberFormat="1" applyFont="1" applyFill="1" applyBorder="1"/>
    <x:xf numFmtId="0" fontId="7" fillId="26" borderId="0" xfId="0" applyNumberFormat="1" applyFont="1" applyFill="1" applyBorder="1"/>
    <x:xf numFmtId="0" fontId="7" fillId="26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2">
    <x:dxf>
      <x:font>
        <x:color rgb="FF9C0006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CFE2F3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EAD1D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C9DAF8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96b8991a54d0c" /><Relationship Type="http://schemas.openxmlformats.org/officeDocument/2006/relationships/theme" Target="/xl/theme/theme1.xml" Id="R2911479d658d424f" /><Relationship Type="http://schemas.openxmlformats.org/officeDocument/2006/relationships/sharedStrings" Target="/xl/sharedStrings.xml" Id="R4135914b3ef34f18" /><Relationship Type="http://schemas.openxmlformats.org/officeDocument/2006/relationships/worksheet" Target="/xl/worksheets/sheet1.xml" Id="Rbf8a0b6659124bea" /><Relationship Type="http://schemas.openxmlformats.org/officeDocument/2006/relationships/worksheet" Target="/xl/worksheets/sheet2.xml" Id="Re3a94afba8364e9d" /><Relationship Type="http://schemas.openxmlformats.org/officeDocument/2006/relationships/worksheet" Target="/xl/worksheets/sheet3.xml" Id="R35c02c98da504308" /><Relationship Type="http://schemas.openxmlformats.org/officeDocument/2006/relationships/worksheet" Target="/xl/worksheets/sheet4.xml" Id="R2aca4e006ca6426c" /><Relationship Type="http://schemas.openxmlformats.org/officeDocument/2006/relationships/worksheet" Target="/xl/worksheets/sheet5.xml" Id="R7910ef50ff85488e" /><Relationship Type="http://schemas.openxmlformats.org/officeDocument/2006/relationships/worksheet" Target="/xl/worksheets/sheet6.xml" Id="R4b28159af9054837" /><Relationship Type="http://schemas.openxmlformats.org/officeDocument/2006/relationships/worksheet" Target="/xl/worksheets/sheet7.xml" Id="Rf602565b20e845f9" /><Relationship Type="http://schemas.openxmlformats.org/officeDocument/2006/relationships/worksheet" Target="/xl/worksheets/sheet8.xml" Id="R0285a7d5116c4707" /><Relationship Type="http://schemas.openxmlformats.org/officeDocument/2006/relationships/worksheet" Target="/xl/worksheets/sheet9.xml" Id="R3f597c0d843b4b46" /><Relationship Type="http://schemas.openxmlformats.org/officeDocument/2006/relationships/worksheet" Target="/xl/worksheets/sheet10.xml" Id="R2db6c985794b47cd" /><Relationship Type="http://schemas.openxmlformats.org/officeDocument/2006/relationships/worksheet" Target="/xl/worksheets/sheet11.xml" Id="Rdc7cf88e39d54f87" /><Relationship Type="http://schemas.openxmlformats.org/officeDocument/2006/relationships/worksheet" Target="/xl/worksheets/sheet12.xml" Id="Ra1fa5f7fc564443a" /><Relationship Type="http://schemas.openxmlformats.org/officeDocument/2006/relationships/worksheet" Target="/xl/worksheets/sheet13.xml" Id="R358cee04b36d4da4" /><Relationship Type="http://schemas.openxmlformats.org/officeDocument/2006/relationships/worksheet" Target="/xl/worksheets/sheet14.xml" Id="Rb6670c3ba611433f" /></Relationships>
</file>

<file path=xl/tables/table1.xml><?xml version="1.0" encoding="utf-8"?>
<x:table xmlns:x="http://schemas.openxmlformats.org/spreadsheetml/2006/main" id="1" name="LEGOCollection" displayName="LEGOCollection" ref="A1:E167" headerRowCount="1" totalsRowCount="0" totalsRowShown="0">
  <x:tableColumns count="5">
    <x:tableColumn id="1" name="Setname"/>
    <x:tableColumn id="2" name="Artikelnummer"/>
    <x:tableColumn id="3" name="Anzahl"/>
    <x:tableColumn id="4" name="Preis aus Brickr (€)"/>
    <x:tableColumn id="5" name="Quelle / Hinwe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03187a1dff4ef5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9" hidden="0" customWidth="1"/>
    <x:col min="4" max="4" width="18" hidden="0" customWidth="1"/>
    <x:col min="5" max="5" width="18" hidden="0" customWidth="1"/>
    <x:col min="6" max="6" width="19" hidden="0" customWidth="1"/>
    <x:col min="7" max="7" width="19" hidden="0" customWidth="1"/>
    <x:col min="8" max="8" width="12" hidden="0" customWidth="1"/>
    <x:col min="9" max="9" width="12" hidden="0" customWidth="1"/>
    <x:col min="10" max="10" width="12" hidden="0" customWidth="1"/>
    <x:col min="11" max="11" width="18" hidden="0" customWidth="1"/>
    <x:col min="12" max="12" width="20" hidden="0" customWidth="1"/>
    <x:col min="13" max="13" width="38" hidden="0" customWidth="1"/>
    <x:col min="14" max="14" width="22" hidden="0" customWidth="1"/>
    <x:col min="15" max="15" width="30" hidden="0" customWidth="1"/>
    <x:col min="16" max="16" width="38" hidden="0" customWidth="1"/>
    <x:col min="17" max="17" width="23" hidden="0" customWidth="1"/>
  </x:cols>
  <x:sheetData>
    <x:row r="1">
      <x:c r="A1" s="38" t="str">
        <x:v>Setname</x:v>
      </x:c>
      <x:c r="B1" s="38" t="str">
        <x:v>Artikelnummer</x:v>
      </x:c>
      <x:c r="C1" s="38" t="str">
        <x:v>Anzahl</x:v>
      </x:c>
      <x:c r="D1" s="38" t="str">
        <x:v>Investment je Stück (€)</x:v>
      </x:c>
      <x:c r="E1" s="38" t="str">
        <x:v>Investment gesamt (€)</x:v>
      </x:c>
      <x:c r="F1" s="38" t="str">
        <x:v>Aktueller Wert je Stück (€)</x:v>
      </x:c>
      <x:c r="G1" s="38" t="str">
        <x:v>Aktueller Wert gesamt (€)</x:v>
      </x:c>
      <x:c r="H1" s="38" t="str">
        <x:v>Breite (cm)</x:v>
      </x:c>
      <x:c r="I1" s="38" t="str">
        <x:v>Tiefe (cm)</x:v>
      </x:c>
      <x:c r="J1" s="38" t="str">
        <x:v>Höhe (cm)</x:v>
      </x:c>
      <x:c r="K1" s="38" t="str">
        <x:v>Stellfläche je Exemplar (m²)</x:v>
      </x:c>
      <x:c r="L1" s="38" t="str">
        <x:v>Maßstatus</x:v>
      </x:c>
      <x:c r="M1" s="38" t="str">
        <x:v>Maßquelle</x:v>
      </x:c>
      <x:c r="N1" s="38" t="str">
        <x:v>Kategorie</x:v>
      </x:c>
      <x:c r="O1" s="38" t="str">
        <x:v>Stadtbereich</x:v>
      </x:c>
      <x:c r="P1" s="38" t="str">
        <x:v>Planungshinweis</x:v>
      </x:c>
      <x:c r="Q1" s="38" t="str">
        <x:v>Quelle Bestand</x:v>
      </x:c>
    </x:row>
    <x:row r="2">
      <x:c r="A2" s="9" t="str">
        <x:v>Winter Toy Shop</x:v>
      </x:c>
      <x:c r="B2" s="9" t="str">
        <x:v>10199</x:v>
      </x:c>
      <x:c r="C2" s="21" t="n">
        <x:v>1</x:v>
      </x:c>
      <x:c r="D2" s="12" t="n">
        <x:v>155</x:v>
      </x:c>
      <x:c r="E2" s="12" t="n">
        <x:f>IF(OR(C2="",D2=""),"",C2*D2)</x:f>
        <x:v>155</x:v>
      </x:c>
      <x:c r="F2" s="12"/>
      <x:c r="G2" s="12" t="str">
        <x:f>IF(OR(C2="",F2=""),"",C2*F2)</x:f>
      </x:c>
      <x:c r="H2" s="22" t="n">
        <x:v>19</x:v>
      </x:c>
      <x:c r="I2" s="22" t="n">
        <x:v>8</x:v>
      </x:c>
      <x:c r="J2" s="22" t="n">
        <x:v>17</x:v>
      </x:c>
      <x:c r="K2" s="43" t="n">
        <x:f>IF(OR(H2="",I2=""),"",H2*I2/10000)</x:f>
        <x:v>0.0152</x:v>
      </x:c>
      <x:c r="L2" s="9" t="str">
        <x:v>recherchiert</x:v>
      </x:c>
      <x:c r="M2" s="9" t="str">
        <x:v>https://brickipedia.fandom.com/wiki/10199_Winter_Toy_Shop</x:v>
      </x:c>
      <x:c r="N2" s="9" t="str">
        <x:v>Winter/Weihnachten</x:v>
      </x:c>
      <x:c r="O2" s="9" t="str">
        <x:v>Weihnachtsdorf</x:v>
      </x:c>
      <x:c r="P2" s="9" t="str">
        <x:v>Hauptgebäude; Baum separat</x:v>
      </x:c>
      <x:c r="Q2" s="9" t="str">
        <x:v>latest_2347.txt</x:v>
      </x:c>
    </x:row>
    <x:row r="3">
      <x:c r="A3" s="9" t="str">
        <x:v>Großes Kaufhaus</x:v>
      </x:c>
      <x:c r="B3" s="9" t="str">
        <x:v>10211</x:v>
      </x:c>
      <x:c r="C3" s="21" t="n">
        <x:v>1</x:v>
      </x:c>
      <x:c r="D3" s="12" t="n">
        <x:v>301</x:v>
      </x:c>
      <x:c r="E3" s="12" t="n">
        <x:f>IF(OR(C3="",D3=""),"",C3*D3)</x:f>
        <x:v>301</x:v>
      </x:c>
      <x:c r="F3" s="12"/>
      <x:c r="G3" s="12" t="str">
        <x:f>IF(OR(C3="",F3=""),"",C3*F3)</x:f>
      </x:c>
      <x:c r="H3" s="22" t="n">
        <x:v>25.6</x:v>
      </x:c>
      <x:c r="I3" s="22" t="n">
        <x:v>25.6</x:v>
      </x:c>
      <x:c r="J3" s="22" t="n">
        <x:v>37.5</x:v>
      </x:c>
      <x:c r="K3" s="43" t="n">
        <x:f>IF(OR(H3="",I3=""),"",H3*I3/10000)</x:f>
        <x:v>0.06553600000000001</x:v>
      </x:c>
      <x:c r="L3" s="9" t="str">
        <x:v>recherchiert/geometrisch</x:v>
      </x:c>
      <x:c r="M3" s="9" t="str">
        <x:v>https://bricker.ru/instructions/download/LEGO/10/10211/4724.pdf</x:v>
      </x:c>
      <x:c r="N3" s="9" t="str">
        <x:v>Stadtgebäude</x:v>
      </x:c>
      <x:c r="O3" s="9" t="str">
        <x:v>Innenstadt / Altstadt</x:v>
      </x:c>
      <x:c r="P3" s="9" t="str">
        <x:v>32×32-Noppen-Modul; Höhe aus Anleitung</x:v>
      </x:c>
      <x:c r="Q3" s="9" t="str">
        <x:v>latest_2332.txt</x:v>
      </x:c>
    </x:row>
    <x:row r="4">
      <x:c r="A4" s="9" t="str">
        <x:v>Tower Bridge</x:v>
      </x:c>
      <x:c r="B4" s="9" t="str">
        <x:v>10214</x:v>
      </x:c>
      <x:c r="C4" s="21" t="n">
        <x:v>1</x:v>
      </x:c>
      <x:c r="D4" s="12" t="n">
        <x:v>159</x:v>
      </x:c>
      <x:c r="E4" s="12" t="n">
        <x:f>IF(OR(C4="",D4=""),"",C4*D4)</x:f>
        <x:v>159</x:v>
      </x:c>
      <x:c r="F4" s="12"/>
      <x:c r="G4" s="12" t="str">
        <x:f>IF(OR(C4="",F4=""),"",C4*F4)</x:f>
      </x:c>
      <x:c r="H4" s="22" t="n">
        <x:v>102</x:v>
      </x:c>
      <x:c r="I4" s="22" t="n">
        <x:v>26</x:v>
      </x:c>
      <x:c r="J4" s="22" t="n">
        <x:v>45</x:v>
      </x:c>
      <x:c r="K4" s="43" t="n">
        <x:f>IF(OR(H4="",I4=""),"",H4*I4/10000)</x:f>
        <x:v>0.2652</x:v>
      </x:c>
      <x:c r="L4" s="9" t="str">
        <x:v>offiziell</x:v>
      </x:c>
      <x:c r="M4" s="9" t="str">
        <x:v>https://www.lego.com/en-us/product/tower-bridge-10214</x:v>
      </x:c>
      <x:c r="N4" s="9" t="str">
        <x:v>Stadtgebäude</x:v>
      </x:c>
      <x:c r="O4" s="9" t="str">
        <x:v>Innenstadt / Altstadt</x:v>
      </x:c>
      <x:c r="P4" s="9" t="str">
        <x:v>Gesamtmodell</x:v>
      </x:c>
      <x:c r="Q4" s="9" t="str">
        <x:v>latest_2336.txt</x:v>
      </x:c>
    </x:row>
    <x:row r="5">
      <x:c r="A5" s="9" t="str">
        <x:v>Winter Village Bakery</x:v>
      </x:c>
      <x:c r="B5" s="9" t="str">
        <x:v>10216</x:v>
      </x:c>
      <x:c r="C5" s="21" t="n">
        <x:v>1</x:v>
      </x:c>
      <x:c r="D5" s="12" t="n">
        <x:v>150</x:v>
      </x:c>
      <x:c r="E5" s="12" t="n">
        <x:f>IF(OR(C5="",D5=""),"",C5*D5)</x:f>
        <x:v>150</x:v>
      </x:c>
      <x:c r="F5" s="12"/>
      <x:c r="G5" s="12" t="str">
        <x:f>IF(OR(C5="",F5=""),"",C5*F5)</x:f>
      </x:c>
      <x:c r="H5" s="22" t="n">
        <x:v>40</x:v>
      </x:c>
      <x:c r="I5" s="22" t="n">
        <x:v>30</x:v>
      </x:c>
      <x:c r="J5" s="22" t="n">
        <x:v>18</x:v>
      </x:c>
      <x:c r="K5" s="43" t="n">
        <x:f>IF(OR(H5="",I5=""),"",H5*I5/10000)</x:f>
        <x:v>0.12</x:v>
      </x:c>
      <x:c r="L5" s="9" t="str">
        <x:v>recherchiert</x:v>
      </x:c>
      <x:c r="M5" s="9" t="str">
        <x:v>https://brickipedia.fandom.com/wiki/10216_Winter_Village_Bakery</x:v>
      </x:c>
      <x:c r="N5" s="9" t="str">
        <x:v>Winter/Weihnachten</x:v>
      </x:c>
      <x:c r="O5" s="9" t="str">
        <x:v>Weihnachtsdorf</x:v>
      </x:c>
      <x:c r="P5" s="9" t="str">
        <x:v>Gesamtszene ungefähr</x:v>
      </x:c>
      <x:c r="Q5" s="9" t="str">
        <x:v>latest_2349.txt</x:v>
      </x:c>
    </x:row>
    <x:row r="6">
      <x:c r="A6" s="9" t="str">
        <x:v>Zoohandlung</x:v>
      </x:c>
      <x:c r="B6" s="9" t="str">
        <x:v>10218</x:v>
      </x:c>
      <x:c r="C6" s="21" t="n">
        <x:v>1</x:v>
      </x:c>
      <x:c r="D6" s="12" t="n">
        <x:v>200</x:v>
      </x:c>
      <x:c r="E6" s="12" t="n">
        <x:f>IF(OR(C6="",D6=""),"",C6*D6)</x:f>
        <x:v>200</x:v>
      </x:c>
      <x:c r="F6" s="12"/>
      <x:c r="G6" s="12" t="str">
        <x:f>IF(OR(C6="",F6=""),"",C6*F6)</x:f>
      </x:c>
      <x:c r="H6" s="22" t="n">
        <x:v>25.5</x:v>
      </x:c>
      <x:c r="I6" s="22" t="n">
        <x:v>25.5</x:v>
      </x:c>
      <x:c r="J6" s="22" t="n">
        <x:v>26.5</x:v>
      </x:c>
      <x:c r="K6" s="43" t="n">
        <x:f>IF(OR(H6="",I6=""),"",H6*I6/10000)</x:f>
        <x:v>0.065025</x:v>
      </x:c>
      <x:c r="L6" s="9" t="str">
        <x:v>offiziell/geometrisch</x:v>
      </x:c>
      <x:c r="M6" s="9" t="str">
        <x:v>https://www.lego.com/de-lu/product/pet-shop-10218</x:v>
      </x:c>
      <x:c r="N6" s="9" t="str">
        <x:v>Stadtgebäude</x:v>
      </x:c>
      <x:c r="O6" s="9" t="str">
        <x:v>Innenstadt / Altstadt</x:v>
      </x:c>
      <x:c r="P6" s="9" t="str">
        <x:v>32×32-Noppen-Modul</x:v>
      </x:c>
      <x:c r="Q6" s="9" t="str">
        <x:v>latest_2343.txt</x:v>
      </x:c>
    </x:row>
    <x:row r="7">
      <x:c r="A7" s="9" t="str">
        <x:v>Winterliches Postamt</x:v>
      </x:c>
      <x:c r="B7" s="9" t="str">
        <x:v>10222</x:v>
      </x:c>
      <x:c r="C7" s="21" t="n">
        <x:v>1</x:v>
      </x:c>
      <x:c r="D7" s="12"/>
      <x:c r="E7" s="12" t="str">
        <x:f>IF(OR(C7="",D7=""),"",C7*D7)</x:f>
      </x:c>
      <x:c r="F7" s="12"/>
      <x:c r="G7" s="12" t="str">
        <x:f>IF(OR(C7="",F7=""),"",C7*F7)</x:f>
      </x:c>
      <x:c r="H7" s="22" t="n">
        <x:v>19</x:v>
      </x:c>
      <x:c r="I7" s="22" t="n">
        <x:v>8</x:v>
      </x:c>
      <x:c r="J7" s="22" t="n">
        <x:v>15</x:v>
      </x:c>
      <x:c r="K7" s="43" t="n">
        <x:f>IF(OR(H7="",I7=""),"",H7*I7/10000)</x:f>
        <x:v>0.0152</x:v>
      </x:c>
      <x:c r="L7" s="9" t="str">
        <x:v>recherchiert</x:v>
      </x:c>
      <x:c r="M7" s="9" t="str">
        <x:v>https://brickipedia.fandom.com/wiki/10222_Winter_Village_Post_Office</x:v>
      </x:c>
      <x:c r="N7" s="9" t="str">
        <x:v>Winter/Weihnachten</x:v>
      </x:c>
      <x:c r="O7" s="9" t="str">
        <x:v>Weihnachtsdorf</x:v>
      </x:c>
      <x:c r="P7" s="9" t="str">
        <x:v>Hauptgebäude</x:v>
      </x:c>
      <x:c r="Q7" s="9" t="str">
        <x:v>latest_2325.txt</x:v>
      </x:c>
    </x:row>
    <x:row r="8">
      <x:c r="A8" s="9" t="str">
        <x:v>Rathaus</x:v>
      </x:c>
      <x:c r="B8" s="9" t="str">
        <x:v>10224</x:v>
      </x:c>
      <x:c r="C8" s="21" t="n">
        <x:v>1</x:v>
      </x:c>
      <x:c r="D8" s="12" t="n">
        <x:v>485</x:v>
      </x:c>
      <x:c r="E8" s="12" t="n">
        <x:f>IF(OR(C8="",D8=""),"",C8*D8)</x:f>
        <x:v>485</x:v>
      </x:c>
      <x:c r="F8" s="12"/>
      <x:c r="G8" s="12" t="str">
        <x:f>IF(OR(C8="",F8=""),"",C8*F8)</x:f>
      </x:c>
      <x:c r="H8" s="22" t="n">
        <x:v>25.6</x:v>
      </x:c>
      <x:c r="I8" s="22" t="n">
        <x:v>25.6</x:v>
      </x:c>
      <x:c r="J8" s="22" t="n">
        <x:v>50</x:v>
      </x:c>
      <x:c r="K8" s="43" t="n">
        <x:f>IF(OR(H8="",I8=""),"",H8*I8/10000)</x:f>
        <x:v>0.06553600000000001</x:v>
      </x:c>
      <x:c r="L8" s="9" t="str">
        <x:v>recherchiert/geometrisch</x:v>
      </x:c>
      <x:c r="M8" s="9" t="str">
        <x:v>https://www.brickmerge.de/10224-1_lego-advanced-models-rathaus</x:v>
      </x:c>
      <x:c r="N8" s="9" t="str">
        <x:v>Stadtgebäude</x:v>
      </x:c>
      <x:c r="O8" s="9" t="str">
        <x:v>Innenstadt / Altstadt</x:v>
      </x:c>
      <x:c r="P8" s="9" t="str">
        <x:v>32×32-Noppen-Modul; Höhe ca. 50 cm</x:v>
      </x:c>
      <x:c r="Q8" s="9" t="str">
        <x:v>latest_2328.txt</x:v>
      </x:c>
    </x:row>
    <x:row r="9">
      <x:c r="A9" s="9" t="str">
        <x:v>Winter Village Cottage</x:v>
      </x:c>
      <x:c r="B9" s="9" t="str">
        <x:v>10229</x:v>
      </x:c>
      <x:c r="C9" s="21" t="n">
        <x:v>1</x:v>
      </x:c>
      <x:c r="D9" s="12" t="n">
        <x:v>250</x:v>
      </x:c>
      <x:c r="E9" s="12" t="n">
        <x:f>IF(OR(C9="",D9=""),"",C9*D9)</x:f>
        <x:v>250</x:v>
      </x:c>
      <x:c r="F9" s="12"/>
      <x:c r="G9" s="12" t="str">
        <x:f>IF(OR(C9="",F9=""),"",C9*F9)</x:f>
      </x:c>
      <x:c r="H9" s="22" t="n">
        <x:v>25</x:v>
      </x:c>
      <x:c r="I9" s="22" t="n">
        <x:v>14</x:v>
      </x:c>
      <x:c r="J9" s="22" t="n">
        <x:v>17</x:v>
      </x:c>
      <x:c r="K9" s="43" t="n">
        <x:f>IF(OR(H9="",I9=""),"",H9*I9/10000)</x:f>
        <x:v>0.035</x:v>
      </x:c>
      <x:c r="L9" s="9" t="str">
        <x:v>recherchiert</x:v>
      </x:c>
      <x:c r="M9" s="9" t="str">
        <x:v>https://www.youtube.com/watch?v=ErB86g5ZP6E</x:v>
      </x:c>
      <x:c r="N9" s="9" t="str">
        <x:v>Winter/Weihnachten</x:v>
      </x:c>
      <x:c r="O9" s="9" t="str">
        <x:v>Weihnachtsdorf</x:v>
      </x:c>
      <x:c r="P9" s="9" t="str">
        <x:v>Cottage; Nebengebäude separat</x:v>
      </x:c>
      <x:c r="Q9" s="9" t="str">
        <x:v>latest_2348.txt</x:v>
      </x:c>
    </x:row>
    <x:row r="10">
      <x:c r="A10" s="9" t="str">
        <x:v>Palace Cinema</x:v>
      </x:c>
      <x:c r="B10" s="9" t="str">
        <x:v>10232</x:v>
      </x:c>
      <x:c r="C10" s="21" t="n">
        <x:v>1</x:v>
      </x:c>
      <x:c r="D10" s="12" t="n">
        <x:v>180</x:v>
      </x:c>
      <x:c r="E10" s="12" t="n">
        <x:f>IF(OR(C10="",D10=""),"",C10*D10)</x:f>
        <x:v>180</x:v>
      </x:c>
      <x:c r="F10" s="12"/>
      <x:c r="G10" s="12" t="str">
        <x:f>IF(OR(C10="",F10=""),"",C10*F10)</x:f>
      </x:c>
      <x:c r="H10" s="22" t="n">
        <x:v>25.5</x:v>
      </x:c>
      <x:c r="I10" s="22" t="n">
        <x:v>25.5</x:v>
      </x:c>
      <x:c r="J10" s="22" t="n">
        <x:v>38</x:v>
      </x:c>
      <x:c r="K10" s="43" t="n">
        <x:f>IF(OR(H10="",I10=""),"",H10*I10/10000)</x:f>
        <x:v>0.065025</x:v>
      </x:c>
      <x:c r="L10" s="9" t="str">
        <x:v>offiziell</x:v>
      </x:c>
      <x:c r="M10" s="9" t="str">
        <x:v>https://www.lego.com/en-gb/product/palace-cinema-10232</x:v>
      </x:c>
      <x:c r="N10" s="9" t="str">
        <x:v>Stadtgebäude</x:v>
      </x:c>
      <x:c r="O10" s="9" t="str">
        <x:v>Innenstadt / Altstadt</x:v>
      </x:c>
      <x:c r="P10" s="9" t="str">
        <x:v>Gesamtmodell</x:v>
      </x:c>
      <x:c r="Q10" s="9" t="str">
        <x:v>latest_2342.txt</x:v>
      </x:c>
    </x:row>
    <x:row r="11">
      <x:c r="A11" s="9" t="str">
        <x:v>Winter Village Market</x:v>
      </x:c>
      <x:c r="B11" s="9" t="str">
        <x:v>10235</x:v>
      </x:c>
      <x:c r="C11" s="21" t="n">
        <x:v>1</x:v>
      </x:c>
      <x:c r="D11" s="12" t="n">
        <x:v>340</x:v>
      </x:c>
      <x:c r="E11" s="12" t="n">
        <x:f>IF(OR(C11="",D11=""),"",C11*D11)</x:f>
        <x:v>340</x:v>
      </x:c>
      <x:c r="F11" s="12"/>
      <x:c r="G11" s="12" t="str">
        <x:f>IF(OR(C11="",F11=""),"",C11*F11)</x:f>
      </x:c>
      <x:c r="H11" s="22" t="n">
        <x:v>25</x:v>
      </x:c>
      <x:c r="I11" s="22" t="n">
        <x:v>16</x:v>
      </x:c>
      <x:c r="J11" s="22" t="n">
        <x:v>19</x:v>
      </x:c>
      <x:c r="K11" s="43" t="n">
        <x:f>IF(OR(H11="",I11=""),"",H11*I11/10000)</x:f>
        <x:v>0.04</x:v>
      </x:c>
      <x:c r="L11" s="9" t="str">
        <x:v>offiziell</x:v>
      </x:c>
      <x:c r="M11" s="9" t="str">
        <x:v>https://www.lego.com/de-lu/product/winter-village-market-10235</x:v>
      </x:c>
      <x:c r="N11" s="9" t="str">
        <x:v>Winter/Weihnachten</x:v>
      </x:c>
      <x:c r="O11" s="9" t="str">
        <x:v>Weihnachtsdorf</x:v>
      </x:c>
      <x:c r="P11" s="9" t="str">
        <x:v>Karussell/Hauptgruppe; Buden separat</x:v>
      </x:c>
      <x:c r="Q11" s="9" t="str">
        <x:v>latest_2348.txt</x:v>
      </x:c>
    </x:row>
    <x:row r="12">
      <x:c r="A12" s="9" t="str">
        <x:v>Pariser Restaurant</x:v>
      </x:c>
      <x:c r="B12" s="9" t="str">
        <x:v>10243</x:v>
      </x:c>
      <x:c r="C12" s="21" t="n">
        <x:v>1</x:v>
      </x:c>
      <x:c r="D12" s="12" t="n">
        <x:v>275</x:v>
      </x:c>
      <x:c r="E12" s="12" t="n">
        <x:f>IF(OR(C12="",D12=""),"",C12*D12)</x:f>
        <x:v>275</x:v>
      </x:c>
      <x:c r="F12" s="12"/>
      <x:c r="G12" s="12" t="str">
        <x:f>IF(OR(C12="",F12=""),"",C12*F12)</x:f>
      </x:c>
      <x:c r="H12" s="22" t="n">
        <x:v>25</x:v>
      </x:c>
      <x:c r="I12" s="22" t="n">
        <x:v>25</x:v>
      </x:c>
      <x:c r="J12" s="22" t="n">
        <x:v>30</x:v>
      </x:c>
      <x:c r="K12" s="43" t="n">
        <x:f>IF(OR(H12="",I12=""),"",H12*I12/10000)</x:f>
        <x:v>0.0625</x:v>
      </x:c>
      <x:c r="L12" s="9" t="str">
        <x:v>offiziell</x:v>
      </x:c>
      <x:c r="M12" s="9" t="str">
        <x:v>https://brickset.com/article/7860/10243-parisian-restaurant</x:v>
      </x:c>
      <x:c r="N12" s="9" t="str">
        <x:v>Stadtgebäude</x:v>
      </x:c>
      <x:c r="O12" s="9" t="str">
        <x:v>Innenstadt / Altstadt</x:v>
      </x:c>
      <x:c r="P12" s="9" t="str">
        <x:v>Gesamtmodell</x:v>
      </x:c>
      <x:c r="Q12" s="9" t="str">
        <x:v>latest_2343.txt</x:v>
      </x:c>
    </x:row>
    <x:row r="13">
      <x:c r="A13" s="9" t="str">
        <x:v>Weihnachtliche Werkstatt</x:v>
      </x:c>
      <x:c r="B13" s="9" t="str">
        <x:v>10245</x:v>
      </x:c>
      <x:c r="C13" s="21" t="n">
        <x:v>1</x:v>
      </x:c>
      <x:c r="D13" s="12" t="n">
        <x:v>189</x:v>
      </x:c>
      <x:c r="E13" s="12" t="n">
        <x:f>IF(OR(C13="",D13=""),"",C13*D13)</x:f>
        <x:v>189</x:v>
      </x:c>
      <x:c r="F13" s="12"/>
      <x:c r="G13" s="12" t="str">
        <x:f>IF(OR(C13="",F13=""),"",C13*F13)</x:f>
      </x:c>
      <x:c r="H13" s="22" t="n">
        <x:v>24</x:v>
      </x:c>
      <x:c r="I13" s="22" t="n">
        <x:v>8</x:v>
      </x:c>
      <x:c r="J13" s="22" t="n">
        <x:v>16</x:v>
      </x:c>
      <x:c r="K13" s="43" t="n">
        <x:f>IF(OR(H13="",I13=""),"",H13*I13/10000)</x:f>
        <x:v>0.0192</x:v>
      </x:c>
      <x:c r="L13" s="9" t="str">
        <x:v>offiziell</x:v>
      </x:c>
      <x:c r="M13" s="9" t="str">
        <x:v>https://www.lego.com/de-lu/product/santas-workshop-10245</x:v>
      </x:c>
      <x:c r="N13" s="9" t="str">
        <x:v>Winter/Weihnachten</x:v>
      </x:c>
      <x:c r="O13" s="9" t="str">
        <x:v>Weihnachtsdorf</x:v>
      </x:c>
      <x:c r="P13" s="9" t="str">
        <x:v>Hauptgebäude</x:v>
      </x:c>
      <x:c r="Q13" s="9" t="str">
        <x:v>latest_2346.txt</x:v>
      </x:c>
    </x:row>
    <x:row r="14">
      <x:c r="A14" s="9" t="str">
        <x:v>Detektivbüro</x:v>
      </x:c>
      <x:c r="B14" s="9" t="str">
        <x:v>10246</x:v>
      </x:c>
      <x:c r="C14" s="21" t="n">
        <x:v>1</x:v>
      </x:c>
      <x:c r="D14" s="12" t="n">
        <x:v>210</x:v>
      </x:c>
      <x:c r="E14" s="12" t="n">
        <x:f>IF(OR(C14="",D14=""),"",C14*D14)</x:f>
        <x:v>210</x:v>
      </x:c>
      <x:c r="F14" s="12"/>
      <x:c r="G14" s="12" t="str">
        <x:f>IF(OR(C14="",F14=""),"",C14*F14)</x:f>
      </x:c>
      <x:c r="H14" s="22" t="n">
        <x:v>25</x:v>
      </x:c>
      <x:c r="I14" s="22" t="n">
        <x:v>25</x:v>
      </x:c>
      <x:c r="J14" s="22" t="n">
        <x:v>27</x:v>
      </x:c>
      <x:c r="K14" s="43" t="n">
        <x:f>IF(OR(H14="",I14=""),"",H14*I14/10000)</x:f>
        <x:v>0.0625</x:v>
      </x:c>
      <x:c r="L14" s="9" t="str">
        <x:v>offiziell</x:v>
      </x:c>
      <x:c r="M14" s="9" t="str">
        <x:v>https://www.lego.com/de-lu/product/detectives-office-10246</x:v>
      </x:c>
      <x:c r="N14" s="9" t="str">
        <x:v>Stadtgebäude</x:v>
      </x:c>
      <x:c r="O14" s="9" t="str">
        <x:v>Innenstadt / Altstadt</x:v>
      </x:c>
      <x:c r="P14" s="9" t="str">
        <x:v>Gesamtmodell</x:v>
      </x:c>
      <x:c r="Q14" s="9" t="str">
        <x:v>latest_2328.txt</x:v>
      </x:c>
    </x:row>
    <x:row r="15">
      <x:c r="A15" s="9" t="str">
        <x:v>Weihnachtlicher Spielzeugladen</x:v>
      </x:c>
      <x:c r="B15" s="9" t="str">
        <x:v>10249</x:v>
      </x:c>
      <x:c r="C15" s="21" t="n">
        <x:v>1</x:v>
      </x:c>
      <x:c r="D15" s="12"/>
      <x:c r="E15" s="12" t="str">
        <x:f>IF(OR(C15="",D15=""),"",C15*D15)</x:f>
      </x:c>
      <x:c r="F15" s="12"/>
      <x:c r="G15" s="12" t="str">
        <x:f>IF(OR(C15="",F15=""),"",C15*F15)</x:f>
      </x:c>
      <x:c r="H15" s="22" t="n">
        <x:v>19</x:v>
      </x:c>
      <x:c r="I15" s="22" t="n">
        <x:v>10</x:v>
      </x:c>
      <x:c r="J15" s="22" t="n">
        <x:v>17</x:v>
      </x:c>
      <x:c r="K15" s="43" t="n">
        <x:f>IF(OR(H15="",I15=""),"",H15*I15/10000)</x:f>
        <x:v>0.019</x:v>
      </x:c>
      <x:c r="L15" s="9" t="str">
        <x:v>offiziell</x:v>
      </x:c>
      <x:c r="M15" s="9" t="str">
        <x:v>https://www.lego.com/de-lu/product/winter-toy-shop-10249</x:v>
      </x:c>
      <x:c r="N15" s="9" t="str">
        <x:v>Winter/Weihnachten</x:v>
      </x:c>
      <x:c r="O15" s="9" t="str">
        <x:v>Weihnachtsdorf</x:v>
      </x:c>
      <x:c r="P15" s="9" t="str">
        <x:v>Hauptgebäude</x:v>
      </x:c>
      <x:c r="Q15" s="9" t="str">
        <x:v>latest_2346.txt</x:v>
      </x:c>
    </x:row>
    <x:row r="16">
      <x:c r="A16" s="9" t="str">
        <x:v>Steine-Bank</x:v>
      </x:c>
      <x:c r="B16" s="9" t="str">
        <x:v>10251</x:v>
      </x:c>
      <x:c r="C16" s="21" t="n">
        <x:v>1</x:v>
      </x:c>
      <x:c r="D16" s="12" t="n">
        <x:v>330</x:v>
      </x:c>
      <x:c r="E16" s="12" t="n">
        <x:f>IF(OR(C16="",D16=""),"",C16*D16)</x:f>
        <x:v>330</x:v>
      </x:c>
      <x:c r="F16" s="12"/>
      <x:c r="G16" s="12" t="str">
        <x:f>IF(OR(C16="",F16=""),"",C16*F16)</x:f>
      </x:c>
      <x:c r="H16" s="22" t="n">
        <x:v>25</x:v>
      </x:c>
      <x:c r="I16" s="22" t="n">
        <x:v>25</x:v>
      </x:c>
      <x:c r="J16" s="22" t="n">
        <x:v>26</x:v>
      </x:c>
      <x:c r="K16" s="43" t="n">
        <x:f>IF(OR(H16="",I16=""),"",H16*I16/10000)</x:f>
        <x:v>0.0625</x:v>
      </x:c>
      <x:c r="L16" s="9" t="str">
        <x:v>offiziell</x:v>
      </x:c>
      <x:c r="M16" s="9" t="str">
        <x:v>https://www.lego.com/de-lu/product/brick-bank-10251</x:v>
      </x:c>
      <x:c r="N16" s="9" t="str">
        <x:v>Stadtgebäude</x:v>
      </x:c>
      <x:c r="O16" s="9" t="str">
        <x:v>Innenstadt / Altstadt</x:v>
      </x:c>
      <x:c r="P16" s="9" t="str">
        <x:v>Gesamtmodell</x:v>
      </x:c>
      <x:c r="Q16" s="9" t="str">
        <x:v>manual</x:v>
      </x:c>
    </x:row>
    <x:row r="17">
      <x:c r="A17" s="9" t="str">
        <x:v>Festlicher Weihnachtszug</x:v>
      </x:c>
      <x:c r="B17" s="9" t="str">
        <x:v>10254</x:v>
      </x:c>
      <x:c r="C17" s="21" t="n">
        <x:v>1</x:v>
      </x:c>
      <x:c r="D17" s="12" t="n">
        <x:v>150</x:v>
      </x:c>
      <x:c r="E17" s="12" t="n">
        <x:f>IF(OR(C17="",D17=""),"",C17*D17)</x:f>
        <x:v>150</x:v>
      </x:c>
      <x:c r="F17" s="12"/>
      <x:c r="G17" s="12" t="str">
        <x:f>IF(OR(C17="",F17=""),"",C17*F17)</x:f>
      </x:c>
      <x:c r="H17" s="22" t="n">
        <x:v>52</x:v>
      </x:c>
      <x:c r="I17" s="22" t="n">
        <x:v>7</x:v>
      </x:c>
      <x:c r="J17" s="22" t="n">
        <x:v>12</x:v>
      </x:c>
      <x:c r="K17" s="43" t="n">
        <x:f>IF(OR(H17="",I17=""),"",H17*I17/10000)</x:f>
        <x:v>0.0364</x:v>
      </x:c>
      <x:c r="L17" s="9" t="str">
        <x:v>recherchiert</x:v>
      </x:c>
      <x:c r="M17" s="9" t="str">
        <x:v>https://www.brickwatch.net/de-DE/set/10254/Winter-Holiday-Train.html</x:v>
      </x:c>
      <x:c r="N17" s="9" t="str">
        <x:v>Winter/Weihnachten</x:v>
      </x:c>
      <x:c r="O17" s="9" t="str">
        <x:v>Weihnachtsdorf</x:v>
      </x:c>
      <x:c r="P17" s="9" t="str">
        <x:v>Zug; Gleisoval ca. 70 cm Durchmesser</x:v>
      </x:c>
      <x:c r="Q17" s="9" t="str">
        <x:v>latest_2349.txt</x:v>
      </x:c>
    </x:row>
    <x:row r="18">
      <x:c r="A18" s="9" t="str">
        <x:v>Stadtleben</x:v>
      </x:c>
      <x:c r="B18" s="9" t="str">
        <x:v>10255</x:v>
      </x:c>
      <x:c r="C18" s="21" t="n">
        <x:v>1</x:v>
      </x:c>
      <x:c r="D18" s="12" t="n">
        <x:v>269.96</x:v>
      </x:c>
      <x:c r="E18" s="12" t="n">
        <x:f>IF(OR(C18="",D18=""),"",C18*D18)</x:f>
        <x:v>269.96</x:v>
      </x:c>
      <x:c r="F18" s="12"/>
      <x:c r="G18" s="12" t="str">
        <x:f>IF(OR(C18="",F18=""),"",C18*F18)</x:f>
      </x:c>
      <x:c r="H18" s="22" t="n">
        <x:v>38</x:v>
      </x:c>
      <x:c r="I18" s="22" t="n">
        <x:v>25</x:v>
      </x:c>
      <x:c r="J18" s="22" t="n">
        <x:v>35</x:v>
      </x:c>
      <x:c r="K18" s="43" t="n">
        <x:f>IF(OR(H18="",I18=""),"",H18*I18/10000)</x:f>
        <x:v>0.095</x:v>
      </x:c>
      <x:c r="L18" s="9" t="str">
        <x:v>offiziell</x:v>
      </x:c>
      <x:c r="M18" s="9" t="str">
        <x:v>https://www.lego.com/de-de/product/assembly-square-10255</x:v>
      </x:c>
      <x:c r="N18" s="9" t="str">
        <x:v>Stadtgebäude</x:v>
      </x:c>
      <x:c r="O18" s="9" t="str">
        <x:v>Innenstadt / Altstadt</x:v>
      </x:c>
      <x:c r="P18" s="9" t="str">
        <x:v>Gesamtmodell</x:v>
      </x:c>
      <x:c r="Q18" s="9" t="str">
        <x:v>latest_2343.txt</x:v>
      </x:c>
    </x:row>
    <x:row r="19">
      <x:c r="A19" s="9" t="str">
        <x:v>Londoner Bus</x:v>
      </x:c>
      <x:c r="B19" s="9" t="str">
        <x:v>10258</x:v>
      </x:c>
      <x:c r="C19" s="21" t="n">
        <x:v>1</x:v>
      </x:c>
      <x:c r="D19" s="12" t="n">
        <x:v>119.99</x:v>
      </x:c>
      <x:c r="E19" s="12" t="n">
        <x:f>IF(OR(C19="",D19=""),"",C19*D19)</x:f>
        <x:v>119.99</x:v>
      </x:c>
      <x:c r="F19" s="12"/>
      <x:c r="G19" s="12" t="str">
        <x:f>IF(OR(C19="",F19=""),"",C19*F19)</x:f>
      </x:c>
      <x:c r="H19" s="22" t="n">
        <x:v>34</x:v>
      </x:c>
      <x:c r="I19" s="22" t="n">
        <x:v>13</x:v>
      </x:c>
      <x:c r="J19" s="22" t="n">
        <x:v>18</x:v>
      </x:c>
      <x:c r="K19" s="43" t="n">
        <x:f>IF(OR(H19="",I19=""),"",H19*I19/10000)</x:f>
        <x:v>0.0442</x:v>
      </x:c>
      <x:c r="L19" s="9" t="str">
        <x:v>offiziell</x:v>
      </x:c>
      <x:c r="M19" s="9" t="str">
        <x:v>https://www.lego.com/de-de/product/london-bus-10258</x:v>
      </x:c>
      <x:c r="N19" s="9" t="str">
        <x:v>Fahrzeug</x:v>
      </x:c>
      <x:c r="O19" s="9" t="str">
        <x:v>Straßen / Verkehr</x:v>
      </x:c>
      <x:c r="P19" s="9" t="str">
        <x:v>Länge als Breite für Stellfläche</x:v>
      </x:c>
      <x:c r="Q19" s="9" t="str">
        <x:v>latest_2361.txt</x:v>
      </x:c>
    </x:row>
    <x:row r="20">
      <x:c r="A20" s="9" t="str">
        <x:v>Winterlicher Bahnhof</x:v>
      </x:c>
      <x:c r="B20" s="9" t="str">
        <x:v>10259</x:v>
      </x:c>
      <x:c r="C20" s="21" t="n">
        <x:v>1</x:v>
      </x:c>
      <x:c r="D20" s="12"/>
      <x:c r="E20" s="12" t="str">
        <x:f>IF(OR(C20="",D20=""),"",C20*D20)</x:f>
      </x:c>
      <x:c r="F20" s="12"/>
      <x:c r="G20" s="12" t="str">
        <x:f>IF(OR(C20="",F20=""),"",C20*F20)</x:f>
      </x:c>
      <x:c r="H20" s="22" t="n">
        <x:v>28</x:v>
      </x:c>
      <x:c r="I20" s="22" t="n">
        <x:v>14</x:v>
      </x:c>
      <x:c r="J20" s="22" t="n">
        <x:v>19</x:v>
      </x:c>
      <x:c r="K20" s="43" t="n">
        <x:f>IF(OR(H20="",I20=""),"",H20*I20/10000)</x:f>
        <x:v>0.0392</x:v>
      </x:c>
      <x:c r="L20" s="9" t="str">
        <x:v>offiziell</x:v>
      </x:c>
      <x:c r="M20" s="9" t="str">
        <x:v>https://www.lego.com/de-lu/product/winter-village-station-10259</x:v>
      </x:c>
      <x:c r="N20" s="9" t="str">
        <x:v>Winter/Weihnachten</x:v>
      </x:c>
      <x:c r="O20" s="9" t="str">
        <x:v>Weihnachtsdorf</x:v>
      </x:c>
      <x:c r="P20" s="9" t="str">
        <x:v>Bahnhofsgebäude; Übergang und Bus separat</x:v>
      </x:c>
      <x:c r="Q20" s="9" t="str">
        <x:v>latest_2348.txt</x:v>
      </x:c>
    </x:row>
    <x:row r="21">
      <x:c r="A21" s="9" t="str">
        <x:v>Amerikanisches Diner</x:v>
      </x:c>
      <x:c r="B21" s="9" t="str">
        <x:v>10260</x:v>
      </x:c>
      <x:c r="C21" s="21" t="n">
        <x:v>1</x:v>
      </x:c>
      <x:c r="D21" s="12"/>
      <x:c r="E21" s="12" t="str">
        <x:f>IF(OR(C21="",D21=""),"",C21*D21)</x:f>
      </x:c>
      <x:c r="F21" s="12"/>
      <x:c r="G21" s="12" t="str">
        <x:f>IF(OR(C21="",F21=""),"",C21*F21)</x:f>
      </x:c>
      <x:c r="H21" s="22" t="n">
        <x:v>25</x:v>
      </x:c>
      <x:c r="I21" s="22" t="n">
        <x:v>25</x:v>
      </x:c>
      <x:c r="J21" s="22" t="n">
        <x:v>34</x:v>
      </x:c>
      <x:c r="K21" s="43" t="n">
        <x:f>IF(OR(H21="",I21=""),"",H21*I21/10000)</x:f>
        <x:v>0.0625</x:v>
      </x:c>
      <x:c r="L21" s="9" t="str">
        <x:v>offiziell</x:v>
      </x:c>
      <x:c r="M21" s="9" t="str">
        <x:v>https://www.lego.com/de-de/product/downtown-diner-10260</x:v>
      </x:c>
      <x:c r="N21" s="9" t="str">
        <x:v>Stadtgebäude</x:v>
      </x:c>
      <x:c r="O21" s="9" t="str">
        <x:v>Innenstadt / Altstadt</x:v>
      </x:c>
      <x:c r="P21" s="9" t="str">
        <x:v>Gesamtmodell</x:v>
      </x:c>
      <x:c r="Q21" s="9" t="str">
        <x:v>latest_2340.txt</x:v>
      </x:c>
    </x:row>
    <x:row r="22">
      <x:c r="A22" s="9" t="str">
        <x:v>Winterliche Feuerwache</x:v>
      </x:c>
      <x:c r="B22" s="9" t="str">
        <x:v>10263</x:v>
      </x:c>
      <x:c r="C22" s="21" t="n">
        <x:v>2</x:v>
      </x:c>
      <x:c r="D22" s="12" t="n">
        <x:v>192</x:v>
      </x:c>
      <x:c r="E22" s="12" t="n">
        <x:f>IF(OR(C22="",D22=""),"",C22*D22)</x:f>
        <x:v>384</x:v>
      </x:c>
      <x:c r="F22" s="12"/>
      <x:c r="G22" s="12" t="str">
        <x:f>IF(OR(C22="",F22=""),"",C22*F22)</x:f>
      </x:c>
      <x:c r="H22" s="22" t="n">
        <x:v>25</x:v>
      </x:c>
      <x:c r="I22" s="22" t="n">
        <x:v>14</x:v>
      </x:c>
      <x:c r="J22" s="22" t="n">
        <x:v>23</x:v>
      </x:c>
      <x:c r="K22" s="43" t="n">
        <x:f>IF(OR(H22="",I22=""),"",H22*I22/10000)</x:f>
        <x:v>0.035</x:v>
      </x:c>
      <x:c r="L22" s="9" t="str">
        <x:v>offiziell</x:v>
      </x:c>
      <x:c r="M22" s="9" t="str">
        <x:v>https://www.lego.com/de-de/product/winter-village-fire-station-10263</x:v>
      </x:c>
      <x:c r="N22" s="9" t="str">
        <x:v>Winter/Weihnachten</x:v>
      </x:c>
      <x:c r="O22" s="9" t="str">
        <x:v>Weihnachtsdorf</x:v>
      </x:c>
      <x:c r="P22" s="9" t="str">
        <x:v>Feuerwache; Fahrzeug separat</x:v>
      </x:c>
      <x:c r="Q22" s="9" t="str">
        <x:v>latest_2349.txt</x:v>
      </x:c>
    </x:row>
    <x:row r="23">
      <x:c r="A23" s="9" t="str">
        <x:v>Corner Garage</x:v>
      </x:c>
      <x:c r="B23" s="9" t="str">
        <x:v>10264</x:v>
      </x:c>
      <x:c r="C23" s="21" t="n">
        <x:v>1</x:v>
      </x:c>
      <x:c r="D23" s="12"/>
      <x:c r="E23" s="12" t="str">
        <x:f>IF(OR(C23="",D23=""),"",C23*D23)</x:f>
      </x:c>
      <x:c r="F23" s="12"/>
      <x:c r="G23" s="12" t="str">
        <x:f>IF(OR(C23="",F23=""),"",C23*F23)</x:f>
      </x:c>
      <x:c r="H23" s="22" t="n">
        <x:v>26</x:v>
      </x:c>
      <x:c r="I23" s="22" t="n">
        <x:v>25</x:v>
      </x:c>
      <x:c r="J23" s="22" t="n">
        <x:v>32</x:v>
      </x:c>
      <x:c r="K23" s="43" t="n">
        <x:f>IF(OR(H23="",I23=""),"",H23*I23/10000)</x:f>
        <x:v>0.065</x:v>
      </x:c>
      <x:c r="L23" s="9" t="str">
        <x:v>offiziell</x:v>
      </x:c>
      <x:c r="M23" s="9" t="str">
        <x:v>https://www.lego.com/de-de/product/corner-garage-10264</x:v>
      </x:c>
      <x:c r="N23" s="9" t="str">
        <x:v>Stadtgebäude</x:v>
      </x:c>
      <x:c r="O23" s="9" t="str">
        <x:v>Innenstadt / Altstadt</x:v>
      </x:c>
      <x:c r="P23" s="9" t="str">
        <x:v>Gesamtmodell</x:v>
      </x:c>
      <x:c r="Q23" s="9" t="str">
        <x:v>latest_2342.txt</x:v>
      </x:c>
    </x:row>
    <x:row r="24">
      <x:c r="A24" s="9" t="str">
        <x:v>NASA Apollo 11 Mondlandefähre</x:v>
      </x:c>
      <x:c r="B24" s="9" t="str">
        <x:v>10266</x:v>
      </x:c>
      <x:c r="C24" s="21" t="n">
        <x:v>1</x:v>
      </x:c>
      <x:c r="D24" s="12" t="n">
        <x:v>99.99</x:v>
      </x:c>
      <x:c r="E24" s="12" t="n">
        <x:f>IF(OR(C24="",D24=""),"",C24*D24)</x:f>
        <x:v>99.99</x:v>
      </x:c>
      <x:c r="F24" s="12"/>
      <x:c r="G24" s="12" t="str">
        <x:f>IF(OR(C24="",F24=""),"",C24*F24)</x:f>
      </x:c>
      <x:c r="H24" s="22" t="n">
        <x:v>22</x:v>
      </x:c>
      <x:c r="I24" s="22" t="n">
        <x:v>20</x:v>
      </x:c>
      <x:c r="J24" s="22" t="n">
        <x:v>20</x:v>
      </x:c>
      <x:c r="K24" s="43" t="n">
        <x:f>IF(OR(H24="",I24=""),"",H24*I24/10000)</x:f>
        <x:v>0.044</x:v>
      </x:c>
      <x:c r="L24" s="9" t="str">
        <x:v>offiziell</x:v>
      </x:c>
      <x:c r="M24" s="9" t="str">
        <x:v>https://www.lego.com/de-de/product/nasa-apollo-11-lunar-lander-10266</x:v>
      </x:c>
      <x:c r="N24" s="9" t="str">
        <x:v>Raumfahrt/Technik</x:v>
      </x:c>
      <x:c r="O24" s="9" t="str">
        <x:v>Technik- &amp; Raumfahrtmuseum</x:v>
      </x:c>
      <x:c r="P24" s="9" t="str">
        <x:v>Gesamtmodell</x:v>
      </x:c>
      <x:c r="Q24" s="9" t="str">
        <x:v>latest_2359.txt</x:v>
      </x:c>
    </x:row>
    <x:row r="25">
      <x:c r="A25" s="9" t="str">
        <x:v>Lebkuchenhaus</x:v>
      </x:c>
      <x:c r="B25" s="9" t="str">
        <x:v>10267</x:v>
      </x:c>
      <x:c r="C25" s="21" t="n">
        <x:v>1</x:v>
      </x:c>
      <x:c r="D25" s="12"/>
      <x:c r="E25" s="12" t="str">
        <x:f>IF(OR(C25="",D25=""),"",C25*D25)</x:f>
      </x:c>
      <x:c r="F25" s="12"/>
      <x:c r="G25" s="12" t="str">
        <x:f>IF(OR(C25="",F25=""),"",C25*F25)</x:f>
      </x:c>
      <x:c r="H25" s="22" t="n">
        <x:v>26</x:v>
      </x:c>
      <x:c r="I25" s="22" t="n">
        <x:v>13</x:v>
      </x:c>
      <x:c r="J25" s="22" t="n">
        <x:v>21</x:v>
      </x:c>
      <x:c r="K25" s="43" t="n">
        <x:f>IF(OR(H25="",I25=""),"",H25*I25/10000)</x:f>
        <x:v>0.0338</x:v>
      </x:c>
      <x:c r="L25" s="9" t="str">
        <x:v>offiziell</x:v>
      </x:c>
      <x:c r="M25" s="9" t="str">
        <x:v>https://www.lego.com/de-de/product/gingerbread-house-10267</x:v>
      </x:c>
      <x:c r="N25" s="9" t="str">
        <x:v>Winter/Weihnachten</x:v>
      </x:c>
      <x:c r="O25" s="9" t="str">
        <x:v>Weihnachtsdorf</x:v>
      </x:c>
      <x:c r="P25" s="9" t="str">
        <x:v>Gesamtmodell</x:v>
      </x:c>
      <x:c r="Q25" s="9" t="str">
        <x:v>latest_2350.txt</x:v>
      </x:c>
    </x:row>
    <x:row r="26">
      <x:c r="A26" s="9" t="str">
        <x:v>Buchhandlung</x:v>
      </x:c>
      <x:c r="B26" s="9" t="str">
        <x:v>10270</x:v>
      </x:c>
      <x:c r="C26" s="21" t="n">
        <x:v>1</x:v>
      </x:c>
      <x:c r="D26" s="12"/>
      <x:c r="E26" s="12" t="str">
        <x:f>IF(OR(C26="",D26=""),"",C26*D26)</x:f>
      </x:c>
      <x:c r="F26" s="12"/>
      <x:c r="G26" s="12" t="str">
        <x:f>IF(OR(C26="",F26=""),"",C26*F26)</x:f>
      </x:c>
      <x:c r="H26" s="22" t="n">
        <x:v>25</x:v>
      </x:c>
      <x:c r="I26" s="22" t="n">
        <x:v>25</x:v>
      </x:c>
      <x:c r="J26" s="22" t="n">
        <x:v>29</x:v>
      </x:c>
      <x:c r="K26" s="43" t="n">
        <x:f>IF(OR(H26="",I26=""),"",H26*I26/10000)</x:f>
        <x:v>0.0625</x:v>
      </x:c>
      <x:c r="L26" s="9" t="str">
        <x:v>offiziell</x:v>
      </x:c>
      <x:c r="M26" s="9" t="str">
        <x:v>https://www.lego.com/de-de/product/bookshop-10270</x:v>
      </x:c>
      <x:c r="N26" s="9" t="str">
        <x:v>Stadtgebäude</x:v>
      </x:c>
      <x:c r="O26" s="9" t="str">
        <x:v>Innenstadt / Altstadt</x:v>
      </x:c>
      <x:c r="P26" s="9" t="str">
        <x:v>Gesamtmodell</x:v>
      </x:c>
      <x:c r="Q26" s="9" t="str">
        <x:v>latest_2343.txt</x:v>
      </x:c>
    </x:row>
    <x:row r="27">
      <x:c r="A27" s="9" t="str">
        <x:v>Elfen-Klubhaus</x:v>
      </x:c>
      <x:c r="B27" s="9" t="str">
        <x:v>10275</x:v>
      </x:c>
      <x:c r="C27" s="21" t="n">
        <x:v>1</x:v>
      </x:c>
      <x:c r="D27" s="12" t="n">
        <x:v>69</x:v>
      </x:c>
      <x:c r="E27" s="12" t="n">
        <x:f>IF(OR(C27="",D27=""),"",C27*D27)</x:f>
        <x:v>69</x:v>
      </x:c>
      <x:c r="F27" s="12"/>
      <x:c r="G27" s="12" t="str">
        <x:f>IF(OR(C27="",F27=""),"",C27*F27)</x:f>
      </x:c>
      <x:c r="H27" s="22"/>
      <x:c r="I27" s="22" t="n">
        <x:v>13</x:v>
      </x:c>
      <x:c r="J27" s="22" t="n">
        <x:v>22</x:v>
      </x:c>
      <x:c r="K27" s="43" t="str">
        <x:f>IF(OR(H27="",I27=""),"",H27*I27/10000)</x:f>
      </x:c>
      <x:c r="L27" s="9" t="str">
        <x:v>teilweise offiziell</x:v>
      </x:c>
      <x:c r="M27" s="9" t="str">
        <x:v>https://www.lego.com/de-at/product/elf-club-house-10275</x:v>
      </x:c>
      <x:c r="N27" s="9" t="str">
        <x:v>Winter/Weihnachten</x:v>
      </x:c>
      <x:c r="O27" s="9" t="str">
        <x:v>Weihnachtsdorf</x:v>
      </x:c>
      <x:c r="P27" s="9" t="str">
        <x:v>LEGO nennt Tiefe und Höhe; Breite offen</x:v>
      </x:c>
      <x:c r="Q27" s="9" t="str">
        <x:v>latest_2356.txt</x:v>
      </x:c>
    </x:row>
    <x:row r="28">
      <x:c r="A28" s="9" t="str">
        <x:v>Polizeistation</x:v>
      </x:c>
      <x:c r="B28" s="9" t="str">
        <x:v>10278</x:v>
      </x:c>
      <x:c r="C28" s="21" t="n">
        <x:v>1</x:v>
      </x:c>
      <x:c r="D28" s="12" t="n">
        <x:v>199.99</x:v>
      </x:c>
      <x:c r="E28" s="12" t="n">
        <x:f>IF(OR(C28="",D28=""),"",C28*D28)</x:f>
        <x:v>199.99</x:v>
      </x:c>
      <x:c r="F28" s="12"/>
      <x:c r="G28" s="12" t="str">
        <x:f>IF(OR(C28="",F28=""),"",C28*F28)</x:f>
      </x:c>
      <x:c r="H28" s="22" t="n">
        <x:v>25</x:v>
      </x:c>
      <x:c r="I28" s="22" t="n">
        <x:v>25</x:v>
      </x:c>
      <x:c r="J28" s="22" t="n">
        <x:v>37</x:v>
      </x:c>
      <x:c r="K28" s="43" t="n">
        <x:f>IF(OR(H28="",I28=""),"",H28*I28/10000)</x:f>
        <x:v>0.0625</x:v>
      </x:c>
      <x:c r="L28" s="9" t="str">
        <x:v>offiziell</x:v>
      </x:c>
      <x:c r="M28" s="9" t="str">
        <x:v>https://www.lego.com/de-de/product/police-station-10278</x:v>
      </x:c>
      <x:c r="N28" s="9" t="str">
        <x:v>Stadtgebäude</x:v>
      </x:c>
      <x:c r="O28" s="9" t="str">
        <x:v>Innenstadt / Altstadt</x:v>
      </x:c>
      <x:c r="P28" s="9" t="str">
        <x:v>Gesamtmodell</x:v>
      </x:c>
      <x:c r="Q28" s="9" t="str">
        <x:v>latest_2344.txt</x:v>
      </x:c>
    </x:row>
    <x:row r="29">
      <x:c r="A29" s="9" t="str">
        <x:v>Blumenstrauß</x:v>
      </x:c>
      <x:c r="B29" s="9" t="str">
        <x:v>10280</x:v>
      </x:c>
      <x:c r="C29" s="21" t="n">
        <x:v>1</x:v>
      </x:c>
      <x:c r="D29" s="12"/>
      <x:c r="E29" s="12" t="str">
        <x:f>IF(OR(C29="",D29=""),"",C29*D29)</x:f>
      </x:c>
      <x:c r="F29" s="12"/>
      <x:c r="G29" s="12" t="str">
        <x:f>IF(OR(C29="",F29=""),"",C29*F29)</x:f>
      </x:c>
      <x:c r="H29" s="22"/>
      <x:c r="I29" s="22"/>
      <x:c r="J29" s="22"/>
      <x:c r="K29" s="43" t="str">
        <x:f>IF(OR(H29="",I29=""),"",H29*I29/10000)</x:f>
      </x:c>
      <x:c r="L29" s="9" t="str">
        <x:v>offen</x:v>
      </x:c>
      <x:c r="M29" s="9" t="str"/>
      <x:c r="N29" s="9" t="str">
        <x:v>Natur/Botanik</x:v>
      </x:c>
      <x:c r="O29" s="9" t="str">
        <x:v>Park &amp; Botanischer Bereich</x:v>
      </x:c>
      <x:c r="P29" s="9" t="str">
        <x:v>Noch keine verlässlichen aufgebauten Gesamtmaße eingetragen</x:v>
      </x:c>
      <x:c r="Q29" s="9" t="str">
        <x:v>latest_2352.txt</x:v>
      </x:c>
    </x:row>
    <x:row r="30">
      <x:c r="A30" s="9" t="str">
        <x:v>Besuch beim Weihnachtsmann</x:v>
      </x:c>
      <x:c r="B30" s="9" t="str">
        <x:v>10293</x:v>
      </x:c>
      <x:c r="C30" s="21" t="n">
        <x:v>1</x:v>
      </x:c>
      <x:c r="D30" s="12"/>
      <x:c r="E30" s="12" t="str">
        <x:f>IF(OR(C30="",D30=""),"",C30*D30)</x:f>
      </x:c>
      <x:c r="F30" s="12"/>
      <x:c r="G30" s="12" t="str">
        <x:f>IF(OR(C30="",F30=""),"",C30*F30)</x:f>
      </x:c>
      <x:c r="H30" s="22" t="n">
        <x:v>27</x:v>
      </x:c>
      <x:c r="I30" s="22" t="n">
        <x:v>16</x:v>
      </x:c>
      <x:c r="J30" s="22" t="n">
        <x:v>19</x:v>
      </x:c>
      <x:c r="K30" s="43" t="n">
        <x:f>IF(OR(H30="",I30=""),"",H30*I30/10000)</x:f>
        <x:v>0.0432</x:v>
      </x:c>
      <x:c r="L30" s="9" t="str">
        <x:v>offiziell</x:v>
      </x:c>
      <x:c r="M30" s="9" t="str">
        <x:v>https://www.lego.com/de-de/product/santas-visit-10293</x:v>
      </x:c>
      <x:c r="N30" s="9" t="str">
        <x:v>Winter/Weihnachten</x:v>
      </x:c>
      <x:c r="O30" s="9" t="str">
        <x:v>Weihnachtsdorf</x:v>
      </x:c>
      <x:c r="P30" s="9" t="str">
        <x:v>Gesamtmodell</x:v>
      </x:c>
      <x:c r="Q30" s="9" t="str">
        <x:v>latest_2349.txt</x:v>
      </x:c>
    </x:row>
    <x:row r="31">
      <x:c r="A31" s="9" t="str">
        <x:v>Boutique-Hotel</x:v>
      </x:c>
      <x:c r="B31" s="9" t="str">
        <x:v>10297</x:v>
      </x:c>
      <x:c r="C31" s="21" t="n">
        <x:v>1</x:v>
      </x:c>
      <x:c r="D31" s="12" t="n">
        <x:v>175</x:v>
      </x:c>
      <x:c r="E31" s="12" t="n">
        <x:f>IF(OR(C31="",D31=""),"",C31*D31)</x:f>
        <x:v>175</x:v>
      </x:c>
      <x:c r="F31" s="12"/>
      <x:c r="G31" s="12" t="str">
        <x:f>IF(OR(C31="",F31=""),"",C31*F31)</x:f>
      </x:c>
      <x:c r="H31" s="22" t="n">
        <x:v>25</x:v>
      </x:c>
      <x:c r="I31" s="22" t="n">
        <x:v>25</x:v>
      </x:c>
      <x:c r="J31" s="22" t="n">
        <x:v>33</x:v>
      </x:c>
      <x:c r="K31" s="43" t="n">
        <x:f>IF(OR(H31="",I31=""),"",H31*I31/10000)</x:f>
        <x:v>0.0625</x:v>
      </x:c>
      <x:c r="L31" s="9" t="str">
        <x:v>offiziell</x:v>
      </x:c>
      <x:c r="M31" s="9" t="str">
        <x:v>https://www.lego.com/de-de/product/boutique-hotel-10297</x:v>
      </x:c>
      <x:c r="N31" s="9" t="str">
        <x:v>Stadtgebäude</x:v>
      </x:c>
      <x:c r="O31" s="9" t="str">
        <x:v>Innenstadt / Altstadt</x:v>
      </x:c>
      <x:c r="P31" s="9" t="str">
        <x:v>Gesamtmodell</x:v>
      </x:c>
      <x:c r="Q31" s="9" t="str">
        <x:v>manual</x:v>
      </x:c>
    </x:row>
    <x:row r="32">
      <x:c r="A32" s="9" t="str">
        <x:v>Weihnachtlich geschmtuckte Hauptst...</x:v>
      </x:c>
      <x:c r="B32" s="9" t="str">
        <x:v>10308</x:v>
      </x:c>
      <x:c r="C32" s="21" t="n">
        <x:v>1</x:v>
      </x:c>
      <x:c r="D32" s="12" t="n">
        <x:v>79</x:v>
      </x:c>
      <x:c r="E32" s="12" t="n">
        <x:f>IF(OR(C32="",D32=""),"",C32*D32)</x:f>
        <x:v>79</x:v>
      </x:c>
      <x:c r="F32" s="12"/>
      <x:c r="G32" s="12" t="str">
        <x:f>IF(OR(C32="",F32=""),"",C32*F32)</x:f>
      </x:c>
      <x:c r="H32" s="22" t="n">
        <x:v>17</x:v>
      </x:c>
      <x:c r="I32" s="22" t="n">
        <x:v>7</x:v>
      </x:c>
      <x:c r="J32" s="22" t="n">
        <x:v>10</x:v>
      </x:c>
      <x:c r="K32" s="43" t="n">
        <x:f>IF(OR(H32="",I32=""),"",H32*I32/10000)</x:f>
        <x:v>0.0119</x:v>
      </x:c>
      <x:c r="L32" s="9" t="str">
        <x:v>Teilmodell</x:v>
      </x:c>
      <x:c r="M32" s="9" t="str">
        <x:v>https://www.lego.com/en-de/product/holiday-main-street-10308</x:v>
      </x:c>
      <x:c r="N32" s="9" t="str">
        <x:v>Winter/Weihnachten</x:v>
      </x:c>
      <x:c r="O32" s="9" t="str">
        <x:v>Weihnachtsdorf</x:v>
      </x:c>
      <x:c r="P32" s="9" t="str">
        <x:v>Maß der Straßenbahn; Gebäudeanordnung variabel</x:v>
      </x:c>
      <x:c r="Q32" s="9" t="str">
        <x:v>latest_2351.txt</x:v>
      </x:c>
    </x:row>
    <x:row r="33">
      <x:c r="A33" s="9" t="str">
        <x:v>Jazzclub</x:v>
      </x:c>
      <x:c r="B33" s="9" t="str">
        <x:v>10312</x:v>
      </x:c>
      <x:c r="C33" s="21" t="n">
        <x:v>1</x:v>
      </x:c>
      <x:c r="D33" s="12" t="n">
        <x:v>193</x:v>
      </x:c>
      <x:c r="E33" s="12" t="n">
        <x:f>IF(OR(C33="",D33=""),"",C33*D33)</x:f>
        <x:v>193</x:v>
      </x:c>
      <x:c r="F33" s="12"/>
      <x:c r="G33" s="12" t="str">
        <x:f>IF(OR(C33="",F33=""),"",C33*F33)</x:f>
      </x:c>
      <x:c r="H33" s="22" t="n">
        <x:v>25</x:v>
      </x:c>
      <x:c r="I33" s="22" t="n">
        <x:v>26</x:v>
      </x:c>
      <x:c r="J33" s="22" t="n">
        <x:v>30</x:v>
      </x:c>
      <x:c r="K33" s="43" t="n">
        <x:f>IF(OR(H33="",I33=""),"",H33*I33/10000)</x:f>
        <x:v>0.065</x:v>
      </x:c>
      <x:c r="L33" s="9" t="str">
        <x:v>offiziell</x:v>
      </x:c>
      <x:c r="M33" s="9" t="str">
        <x:v>https://www.lego.com/de-de/product/jazz-club-10312</x:v>
      </x:c>
      <x:c r="N33" s="9" t="str">
        <x:v>Stadtgebäude</x:v>
      </x:c>
      <x:c r="O33" s="9" t="str">
        <x:v>Innenstadt / Altstadt</x:v>
      </x:c>
      <x:c r="P33" s="9" t="str">
        <x:v>Gesamtmodell</x:v>
      </x:c>
      <x:c r="Q33" s="9" t="str">
        <x:v>latest_2329.txt</x:v>
      </x:c>
    </x:row>
    <x:row r="34">
      <x:c r="A34" s="9" t="str">
        <x:v>Eldorado-Festung</x:v>
      </x:c>
      <x:c r="B34" s="9" t="str">
        <x:v>10320</x:v>
      </x:c>
      <x:c r="C34" s="21" t="n">
        <x:v>1</x:v>
      </x:c>
      <x:c r="D34" s="12" t="n">
        <x:v>171</x:v>
      </x:c>
      <x:c r="E34" s="12" t="n">
        <x:f>IF(OR(C34="",D34=""),"",C34*D34)</x:f>
        <x:v>171</x:v>
      </x:c>
      <x:c r="F34" s="12"/>
      <x:c r="G34" s="12" t="str">
        <x:f>IF(OR(C34="",F34=""),"",C34*F34)</x:f>
      </x:c>
      <x:c r="H34" s="22" t="n">
        <x:v>70</x:v>
      </x:c>
      <x:c r="I34" s="22" t="n">
        <x:v>24</x:v>
      </x:c>
      <x:c r="J34" s="22" t="n">
        <x:v>27</x:v>
      </x:c>
      <x:c r="K34" s="43" t="n">
        <x:f>IF(OR(H34="",I34=""),"",H34*I34/10000)</x:f>
        <x:v>0.168</x:v>
      </x:c>
      <x:c r="L34" s="9" t="str">
        <x:v>offiziell</x:v>
      </x:c>
      <x:c r="M34" s="9" t="str">
        <x:v>https://www.lego.com/de-de/product/eldorado-fortress-10320</x:v>
      </x:c>
      <x:c r="N34" s="9" t="str">
        <x:v>Hafen/Piraten</x:v>
      </x:c>
      <x:c r="O34" s="9" t="str">
        <x:v>Hafen &amp; Küste</x:v>
      </x:c>
      <x:c r="P34" s="9" t="str">
        <x:v>Geöffnete Konfiguration</x:v>
      </x:c>
      <x:c r="Q34" s="9" t="str">
        <x:v>latest_2327.txt</x:v>
      </x:c>
    </x:row>
    <x:row r="35">
      <x:c r="A35" s="9" t="str">
        <x:v>Almhütte</x:v>
      </x:c>
      <x:c r="B35" s="9" t="str">
        <x:v>10325</x:v>
      </x:c>
      <x:c r="C35" s="21" t="n">
        <x:v>1</x:v>
      </x:c>
      <x:c r="D35" s="12" t="n">
        <x:v>69</x:v>
      </x:c>
      <x:c r="E35" s="12" t="n">
        <x:f>IF(OR(C35="",D35=""),"",C35*D35)</x:f>
        <x:v>69</x:v>
      </x:c>
      <x:c r="F35" s="12"/>
      <x:c r="G35" s="12" t="str">
        <x:f>IF(OR(C35="",F35=""),"",C35*F35)</x:f>
      </x:c>
      <x:c r="H35" s="22" t="n">
        <x:v>24</x:v>
      </x:c>
      <x:c r="I35" s="22" t="n">
        <x:v>16</x:v>
      </x:c>
      <x:c r="J35" s="22" t="n">
        <x:v>21</x:v>
      </x:c>
      <x:c r="K35" s="43" t="n">
        <x:f>IF(OR(H35="",I35=""),"",H35*I35/10000)</x:f>
        <x:v>0.0384</x:v>
      </x:c>
      <x:c r="L35" s="9" t="str">
        <x:v>offiziell</x:v>
      </x:c>
      <x:c r="M35" s="9" t="str">
        <x:v>https://www.lego.com/en-de/product/alpine-lodge-10325</x:v>
      </x:c>
      <x:c r="N35" s="9" t="str">
        <x:v>Winter/Weihnachten</x:v>
      </x:c>
      <x:c r="O35" s="9" t="str">
        <x:v>Weihnachtsdorf</x:v>
      </x:c>
      <x:c r="P35" s="9" t="str">
        <x:v>Gesamtmodell</x:v>
      </x:c>
      <x:c r="Q35" s="9" t="str">
        <x:v>latest_2329.txt</x:v>
      </x:c>
    </x:row>
    <x:row r="36">
      <x:c r="A36" s="9" t="str">
        <x:v>Naturhistorisches Museum</x:v>
      </x:c>
      <x:c r="B36" s="9" t="str">
        <x:v>10326</x:v>
      </x:c>
      <x:c r="C36" s="21" t="n">
        <x:v>1</x:v>
      </x:c>
      <x:c r="D36" s="12" t="n">
        <x:v>230</x:v>
      </x:c>
      <x:c r="E36" s="12" t="n">
        <x:f>IF(OR(C36="",D36=""),"",C36*D36)</x:f>
        <x:v>230</x:v>
      </x:c>
      <x:c r="F36" s="12"/>
      <x:c r="G36" s="12" t="str">
        <x:f>IF(OR(C36="",F36=""),"",C36*F36)</x:f>
      </x:c>
      <x:c r="H36" s="22" t="n">
        <x:v>39</x:v>
      </x:c>
      <x:c r="I36" s="22" t="n">
        <x:v>25</x:v>
      </x:c>
      <x:c r="J36" s="22" t="n">
        <x:v>31</x:v>
      </x:c>
      <x:c r="K36" s="43" t="n">
        <x:f>IF(OR(H36="",I36=""),"",H36*I36/10000)</x:f>
        <x:v>0.0975</x:v>
      </x:c>
      <x:c r="L36" s="9" t="str">
        <x:v>offiziell</x:v>
      </x:c>
      <x:c r="M36" s="9" t="str">
        <x:v>https://www.lego.com/en-fr/product/natural-history-museum-10326</x:v>
      </x:c>
      <x:c r="N36" s="9" t="str">
        <x:v>Stadtgebäude</x:v>
      </x:c>
      <x:c r="O36" s="9" t="str">
        <x:v>Innenstadt / Altstadt</x:v>
      </x:c>
      <x:c r="P36" s="9" t="str">
        <x:v>Gesamtmodell</x:v>
      </x:c>
      <x:c r="Q36" s="9" t="str">
        <x:v>manual</x:v>
      </x:c>
    </x:row>
    <x:row r="37">
      <x:c r="A37" s="9" t="str">
        <x:v>Mittelalterlicher Stadtplatz</x:v>
      </x:c>
      <x:c r="B37" s="9" t="str">
        <x:v>10332</x:v>
      </x:c>
      <x:c r="C37" s="21" t="n">
        <x:v>1</x:v>
      </x:c>
      <x:c r="D37" s="12" t="n">
        <x:v>199</x:v>
      </x:c>
      <x:c r="E37" s="12" t="n">
        <x:f>IF(OR(C37="",D37=""),"",C37*D37)</x:f>
        <x:v>199</x:v>
      </x:c>
      <x:c r="F37" s="12"/>
      <x:c r="G37" s="12" t="str">
        <x:f>IF(OR(C37="",F37=""),"",C37*F37)</x:f>
      </x:c>
      <x:c r="H37" s="22" t="n">
        <x:v>36</x:v>
      </x:c>
      <x:c r="I37" s="22" t="n">
        <x:v>12</x:v>
      </x:c>
      <x:c r="J37" s="22" t="n">
        <x:v>25</x:v>
      </x:c>
      <x:c r="K37" s="43" t="n">
        <x:f>IF(OR(H37="",I37=""),"",H37*I37/10000)</x:f>
        <x:v>0.0432</x:v>
      </x:c>
      <x:c r="L37" s="9" t="str">
        <x:v>offiziell/variabel</x:v>
      </x:c>
      <x:c r="M37" s="9" t="str">
        <x:v>https://www.lego.com/en-de/product/medieval-town-square-10332</x:v>
      </x:c>
      <x:c r="N37" s="9" t="str">
        <x:v>Historisch/Fantasy</x:v>
      </x:c>
      <x:c r="O37" s="9" t="str">
        <x:v>Historisches Viertel</x:v>
      </x:c>
      <x:c r="P37" s="9" t="str">
        <x:v>Konfigurationsabhängig</x:v>
      </x:c>
      <x:c r="Q37" s="9" t="str">
        <x:v>latest_2325.txt</x:v>
      </x:c>
    </x:row>
    <x:row r="38">
      <x:c r="A38" s="9" t="str">
        <x:v>Santa's Post Office</x:v>
      </x:c>
      <x:c r="B38" s="9" t="str">
        <x:v>10339</x:v>
      </x:c>
      <x:c r="C38" s="21" t="n">
        <x:v>1</x:v>
      </x:c>
      <x:c r="D38" s="12" t="n">
        <x:v>96</x:v>
      </x:c>
      <x:c r="E38" s="12" t="n">
        <x:f>IF(OR(C38="",D38=""),"",C38*D38)</x:f>
        <x:v>96</x:v>
      </x:c>
      <x:c r="F38" s="12"/>
      <x:c r="G38" s="12" t="str">
        <x:f>IF(OR(C38="",F38=""),"",C38*F38)</x:f>
      </x:c>
      <x:c r="H38" s="22" t="n">
        <x:v>28</x:v>
      </x:c>
      <x:c r="I38" s="22" t="n">
        <x:v>10</x:v>
      </x:c>
      <x:c r="J38" s="22" t="n">
        <x:v>21</x:v>
      </x:c>
      <x:c r="K38" s="43" t="n">
        <x:f>IF(OR(H38="",I38=""),"",H38*I38/10000)</x:f>
        <x:v>0.028</x:v>
      </x:c>
      <x:c r="L38" s="9" t="str">
        <x:v>offiziell</x:v>
      </x:c>
      <x:c r="M38" s="9" t="str">
        <x:v>https://www.lego.com/en-de/product/santas-post-office-10339</x:v>
      </x:c>
      <x:c r="N38" s="9" t="str">
        <x:v>Winter/Weihnachten</x:v>
      </x:c>
      <x:c r="O38" s="9" t="str">
        <x:v>Weihnachtsdorf</x:v>
      </x:c>
      <x:c r="P38" s="9" t="str">
        <x:v>Gesamtmodell</x:v>
      </x:c>
      <x:c r="Q38" s="9" t="str">
        <x:v>latest_2318.txt</x:v>
      </x:c>
    </x:row>
    <x:row r="39">
      <x:c r="A39" s="9" t="str">
        <x:v>Lucky Bamboo</x:v>
      </x:c>
      <x:c r="B39" s="9" t="str">
        <x:v>10344</x:v>
      </x:c>
      <x:c r="C39" s="21" t="n">
        <x:v>1</x:v>
      </x:c>
      <x:c r="D39" s="12" t="n">
        <x:v>0</x:v>
      </x:c>
      <x:c r="E39" s="12" t="str">
        <x:f>IF(OR(C39="",D39=""),"",C39*D39)</x:f>
      </x:c>
      <x:c r="F39" s="12"/>
      <x:c r="G39" s="12" t="str">
        <x:f>IF(OR(C39="",F39=""),"",C39*F39)</x:f>
      </x:c>
      <x:c r="H39" s="22"/>
      <x:c r="I39" s="22"/>
      <x:c r="J39" s="22" t="n">
        <x:v>29</x:v>
      </x:c>
      <x:c r="K39" s="43" t="str">
        <x:f>IF(OR(H39="",I39=""),"",H39*I39/10000)</x:f>
      </x:c>
      <x:c r="L39" s="9" t="str">
        <x:v>teilweise offiziell</x:v>
      </x:c>
      <x:c r="M39" s="9" t="str">
        <x:v>https://www.lego.com/de-de/product/lucky-bamboo-10344</x:v>
      </x:c>
      <x:c r="N39" s="9" t="str">
        <x:v>Natur/Botanik</x:v>
      </x:c>
      <x:c r="O39" s="9" t="str">
        <x:v>Park &amp; Botanischer Bereich</x:v>
      </x:c>
      <x:c r="P39" s="9" t="str">
        <x:v>Nur Höhe eingetragen</x:v>
      </x:c>
      <x:c r="Q39" s="9" t="str">
        <x:v>latest_2317.txt</x:v>
      </x:c>
    </x:row>
    <x:row r="40">
      <x:c r="A40" s="9" t="str">
        <x:v>Eckhaus im Tudorstil</x:v>
      </x:c>
      <x:c r="B40" s="9" t="str">
        <x:v>10350</x:v>
      </x:c>
      <x:c r="C40" s="21" t="n">
        <x:v>1</x:v>
      </x:c>
      <x:c r="D40" s="12" t="n">
        <x:v>229</x:v>
      </x:c>
      <x:c r="E40" s="12" t="n">
        <x:f>IF(OR(C40="",D40=""),"",C40*D40)</x:f>
        <x:v>229</x:v>
      </x:c>
      <x:c r="F40" s="12"/>
      <x:c r="G40" s="12" t="str">
        <x:f>IF(OR(C40="",F40=""),"",C40*F40)</x:f>
      </x:c>
      <x:c r="H40" s="22" t="n">
        <x:v>26</x:v>
      </x:c>
      <x:c r="I40" s="22" t="n">
        <x:v>25</x:v>
      </x:c>
      <x:c r="J40" s="22" t="n">
        <x:v>31</x:v>
      </x:c>
      <x:c r="K40" s="43" t="n">
        <x:f>IF(OR(H40="",I40=""),"",H40*I40/10000)</x:f>
        <x:v>0.065</x:v>
      </x:c>
      <x:c r="L40" s="9" t="str">
        <x:v>offiziell</x:v>
      </x:c>
      <x:c r="M40" s="9" t="str">
        <x:v>https://www.lego.com/en-de/product/tudor-corner-10350</x:v>
      </x:c>
      <x:c r="N40" s="9" t="str">
        <x:v>Stadtgebäude</x:v>
      </x:c>
      <x:c r="O40" s="9" t="str">
        <x:v>Innenstadt / Altstadt</x:v>
      </x:c>
      <x:c r="P40" s="9" t="str">
        <x:v>Gesamtmodell</x:v>
      </x:c>
      <x:c r="Q40" s="9" t="str">
        <x:v>latest_2324.txt</x:v>
      </x:c>
    </x:row>
    <x:row r="41">
      <x:c r="A41" s="9" t="str">
        <x:v>The Simpsons™: Krusty Burger</x:v>
      </x:c>
      <x:c r="B41" s="9" t="str">
        <x:v>10352</x:v>
      </x:c>
      <x:c r="C41" s="21" t="n">
        <x:v>1</x:v>
      </x:c>
      <x:c r="D41" s="12" t="n">
        <x:v>140</x:v>
      </x:c>
      <x:c r="E41" s="12" t="n">
        <x:f>IF(OR(C41="",D41=""),"",C41*D41)</x:f>
        <x:v>140</x:v>
      </x:c>
      <x:c r="F41" s="12"/>
      <x:c r="G41" s="12" t="str">
        <x:f>IF(OR(C41="",F41=""),"",C41*F41)</x:f>
      </x:c>
      <x:c r="H41" s="22" t="n">
        <x:v>24</x:v>
      </x:c>
      <x:c r="I41" s="22" t="n">
        <x:v>20</x:v>
      </x:c>
      <x:c r="J41" s="22" t="n">
        <x:v>23</x:v>
      </x:c>
      <x:c r="K41" s="43" t="n">
        <x:f>IF(OR(H41="",I41=""),"",H41*I41/10000)</x:f>
        <x:v>0.048</x:v>
      </x:c>
      <x:c r="L41" s="9" t="str">
        <x:v>offiziell</x:v>
      </x:c>
      <x:c r="M41" s="9" t="str">
        <x:v>https://www.lego.com/de-de/product/the-simpsons-krusty-burger-10352</x:v>
      </x:c>
      <x:c r="N41" s="9" t="str">
        <x:v>The Simpsons</x:v>
      </x:c>
      <x:c r="O41" s="9" t="str">
        <x:v>Springfield-Viertel</x:v>
      </x:c>
      <x:c r="P41" s="9" t="str">
        <x:v>Gesamtmodell</x:v>
      </x:c>
      <x:c r="Q41" s="9" t="str">
        <x:v>latest_2322.txt</x:v>
      </x:c>
    </x:row>
    <x:row r="42">
      <x:c r="A42" s="9" t="str">
        <x:v>Der Herr der Ringe: Das Auenland</x:v>
      </x:c>
      <x:c r="B42" s="9" t="str">
        <x:v>10354</x:v>
      </x:c>
      <x:c r="C42" s="21" t="n">
        <x:v>1</x:v>
      </x:c>
      <x:c r="D42" s="12" t="n">
        <x:v>299</x:v>
      </x:c>
      <x:c r="E42" s="12" t="n">
        <x:f>IF(OR(C42="",D42=""),"",C42*D42)</x:f>
        <x:v>299</x:v>
      </x:c>
      <x:c r="F42" s="12"/>
      <x:c r="G42" s="12" t="str">
        <x:f>IF(OR(C42="",F42=""),"",C42*F42)</x:f>
      </x:c>
      <x:c r="H42" s="22" t="n">
        <x:v>45</x:v>
      </x:c>
      <x:c r="I42" s="22" t="n">
        <x:v>27</x:v>
      </x:c>
      <x:c r="J42" s="22" t="n">
        <x:v>20</x:v>
      </x:c>
      <x:c r="K42" s="43" t="n">
        <x:f>IF(OR(H42="",I42=""),"",H42*I42/10000)</x:f>
        <x:v>0.1215</x:v>
      </x:c>
      <x:c r="L42" s="9" t="str">
        <x:v>offiziell</x:v>
      </x:c>
      <x:c r="M42" s="9" t="str">
        <x:v>https://www.lego.com/de-de/product/the-lord-of-the-rings-the-shire-10354</x:v>
      </x:c>
      <x:c r="N42" s="9" t="str">
        <x:v>Historisch/Fantasy</x:v>
      </x:c>
      <x:c r="O42" s="9" t="str">
        <x:v>Historisches Viertel</x:v>
      </x:c>
      <x:c r="P42" s="9" t="str">
        <x:v>Gesamtmodell</x:v>
      </x:c>
      <x:c r="Q42" s="9" t="str">
        <x:v>latest_2319.txt</x:v>
      </x:c>
    </x:row>
    <x:row r="43">
      <x:c r="A43" s="9" t="str">
        <x:v>Springbrunnengarten</x:v>
      </x:c>
      <x:c r="B43" s="9" t="str">
        <x:v>10359</x:v>
      </x:c>
      <x:c r="C43" s="21" t="n">
        <x:v>1</x:v>
      </x:c>
      <x:c r="D43" s="12" t="n">
        <x:v>59.59</x:v>
      </x:c>
      <x:c r="E43" s="12" t="n">
        <x:f>IF(OR(C43="",D43=""),"",C43*D43)</x:f>
        <x:v>59.59</x:v>
      </x:c>
      <x:c r="F43" s="12"/>
      <x:c r="G43" s="12" t="str">
        <x:f>IF(OR(C43="",F43=""),"",C43*F43)</x:f>
      </x:c>
      <x:c r="H43" s="22" t="n">
        <x:v>29</x:v>
      </x:c>
      <x:c r="I43" s="22" t="n">
        <x:v>19</x:v>
      </x:c>
      <x:c r="J43" s="22" t="n">
        <x:v>15</x:v>
      </x:c>
      <x:c r="K43" s="43" t="n">
        <x:f>IF(OR(H43="",I43=""),"",H43*I43/10000)</x:f>
        <x:v>0.0551</x:v>
      </x:c>
      <x:c r="L43" s="9" t="str">
        <x:v>offiziell</x:v>
      </x:c>
      <x:c r="M43" s="9" t="str">
        <x:v>https://www.lego.com/en-de/product/fountain-garden-10359</x:v>
      </x:c>
      <x:c r="N43" s="9" t="str">
        <x:v>Natur/Botanik</x:v>
      </x:c>
      <x:c r="O43" s="9" t="str">
        <x:v>Park &amp; Botanischer Bereich</x:v>
      </x:c>
      <x:c r="P43" s="9" t="str">
        <x:v>Gesamtmodell</x:v>
      </x:c>
      <x:c r="Q43" s="9" t="str">
        <x:v>latest_2323.txt</x:v>
      </x:c>
    </x:row>
    <x:row r="44">
      <x:c r="A44" s="9" t="str">
        <x:v>Französisches Café</x:v>
      </x:c>
      <x:c r="B44" s="9" t="str">
        <x:v>10362</x:v>
      </x:c>
      <x:c r="C44" s="21" t="n">
        <x:v>1</x:v>
      </x:c>
      <x:c r="D44" s="12" t="n">
        <x:v>47.67</x:v>
      </x:c>
      <x:c r="E44" s="12" t="n">
        <x:f>IF(OR(C44="",D44=""),"",C44*D44)</x:f>
        <x:v>47.67</x:v>
      </x:c>
      <x:c r="F44" s="12"/>
      <x:c r="G44" s="12" t="str">
        <x:f>IF(OR(C44="",F44=""),"",C44*F44)</x:f>
      </x:c>
      <x:c r="H44" s="22" t="n">
        <x:v>30</x:v>
      </x:c>
      <x:c r="I44" s="22" t="n">
        <x:v>6</x:v>
      </x:c>
      <x:c r="J44" s="22" t="n">
        <x:v>16</x:v>
      </x:c>
      <x:c r="K44" s="43" t="n">
        <x:f>IF(OR(H44="",I44=""),"",H44*I44/10000)</x:f>
        <x:v>0.018</x:v>
      </x:c>
      <x:c r="L44" s="9" t="str">
        <x:v>offiziell</x:v>
      </x:c>
      <x:c r="M44" s="9" t="str">
        <x:v>https://www.lego.com/de-de/product/french-cafe-10362</x:v>
      </x:c>
      <x:c r="N44" s="9" t="str">
        <x:v>Stadtgebäude</x:v>
      </x:c>
      <x:c r="O44" s="9" t="str">
        <x:v>Innenstadt / Altstadt</x:v>
      </x:c>
      <x:c r="P44" s="9" t="str">
        <x:v>Fassadenmodell</x:v>
      </x:c>
      <x:c r="Q44" s="9" t="str">
        <x:v>latest_2323.txt</x:v>
      </x:c>
    </x:row>
    <x:row r="45">
      <x:c r="A45" s="9" t="str">
        <x:v>Hogwarts: Misslungener Vielsafttrank</x:v>
      </x:c>
      <x:c r="B45" s="9" t="str">
        <x:v>10390</x:v>
      </x:c>
      <x:c r="C45" s="21" t="n">
        <x:v>1</x:v>
      </x:c>
      <x:c r="D45" s="12" t="n">
        <x:v>29.99</x:v>
      </x:c>
      <x:c r="E45" s="12" t="n">
        <x:f>IF(OR(C45="",D45=""),"",C45*D45)</x:f>
        <x:v>29.99</x:v>
      </x:c>
      <x:c r="F45" s="12"/>
      <x:c r="G45" s="12" t="str">
        <x:f>IF(OR(C45="",F45=""),"",C45*F45)</x:f>
      </x:c>
      <x:c r="H45" s="22"/>
      <x:c r="I45" s="22"/>
      <x:c r="J45" s="22"/>
      <x:c r="K45" s="43" t="str">
        <x:f>IF(OR(H45="",I45=""),"",H45*I45/10000)</x:f>
      </x:c>
      <x:c r="L45" s="9" t="str">
        <x:v>offen</x:v>
      </x:c>
      <x:c r="M45" s="9" t="str"/>
      <x:c r="N45" s="9" t="str">
        <x:v>Stadtgebäude</x:v>
      </x:c>
      <x:c r="O45" s="9" t="str">
        <x:v>Innenstadt / Altstadt</x:v>
      </x:c>
      <x:c r="P45" s="9" t="str">
        <x:v>Noch keine verlässlichen aufgebauten Gesamtmaße eingetragen</x:v>
      </x:c>
      <x:c r="Q45" s="9" t="str">
        <x:v>manual</x:v>
      </x:c>
    </x:row>
    <x:row r="46">
      <x:c r="A46" s="9" t="str">
        <x:v>Grüne Bauplatte</x:v>
      </x:c>
      <x:c r="B46" s="9" t="str">
        <x:v>11023</x:v>
      </x:c>
      <x:c r="C46" s="21" t="n">
        <x:v>10</x:v>
      </x:c>
      <x:c r="D46" s="12" t="n">
        <x:v>40</x:v>
      </x:c>
      <x:c r="E46" s="12" t="n">
        <x:f>IF(OR(C46="",D46=""),"",C46*D46)</x:f>
        <x:v>400</x:v>
      </x:c>
      <x:c r="F46" s="12"/>
      <x:c r="G46" s="12" t="str">
        <x:f>IF(OR(C46="",F46=""),"",C46*F46)</x:f>
      </x:c>
      <x:c r="H46" s="22" t="n">
        <x:v>25.6</x:v>
      </x:c>
      <x:c r="I46" s="22" t="n">
        <x:v>25.6</x:v>
      </x:c>
      <x:c r="J46" s="22" t="n">
        <x:v>0.3</x:v>
      </x:c>
      <x:c r="K46" s="43" t="n">
        <x:f>IF(OR(H46="",I46=""),"",H46*I46/10000)</x:f>
        <x:v>0.06553600000000001</x:v>
      </x:c>
      <x:c r="L46" s="9" t="str">
        <x:v>geometrisch</x:v>
      </x:c>
      <x:c r="M46" s="9" t="str">
        <x:v>https://www.lego.com/de-de/product/green-baseplate-11023</x:v>
      </x:c>
      <x:c r="N46" s="9" t="str">
        <x:v>Infrastruktur</x:v>
      </x:c>
      <x:c r="O46" s="9" t="str">
        <x:v>Infrastruktur / flexibel</x:v>
      </x:c>
      <x:c r="P46" s="9" t="str">
        <x:v>32×32 Noppen</x:v>
      </x:c>
      <x:c r="Q46" s="9" t="str">
        <x:v>latest_2330.txt</x:v>
      </x:c>
    </x:row>
    <x:row r="47">
      <x:c r="A47" s="9" t="str">
        <x:v>Graue Bauplatte</x:v>
      </x:c>
      <x:c r="B47" s="9" t="str">
        <x:v>11024</x:v>
      </x:c>
      <x:c r="C47" s="21" t="n">
        <x:v>20</x:v>
      </x:c>
      <x:c r="D47" s="12" t="n">
        <x:v>160</x:v>
      </x:c>
      <x:c r="E47" s="12" t="n">
        <x:f>IF(OR(C47="",D47=""),"",C47*D47)</x:f>
        <x:v>3200</x:v>
      </x:c>
      <x:c r="F47" s="12"/>
      <x:c r="G47" s="12" t="str">
        <x:f>IF(OR(C47="",F47=""),"",C47*F47)</x:f>
      </x:c>
      <x:c r="H47" s="22" t="n">
        <x:v>38.4</x:v>
      </x:c>
      <x:c r="I47" s="22" t="n">
        <x:v>38.4</x:v>
      </x:c>
      <x:c r="J47" s="22" t="n">
        <x:v>0.3</x:v>
      </x:c>
      <x:c r="K47" s="43" t="n">
        <x:f>IF(OR(H47="",I47=""),"",H47*I47/10000)</x:f>
        <x:v>0.147456</x:v>
      </x:c>
      <x:c r="L47" s="9" t="str">
        <x:v>geometrisch</x:v>
      </x:c>
      <x:c r="M47" s="9" t="str">
        <x:v>https://www.lego.com/de-de/product/gray-baseplate-11024</x:v>
      </x:c>
      <x:c r="N47" s="9" t="str">
        <x:v>Infrastruktur</x:v>
      </x:c>
      <x:c r="O47" s="9" t="str">
        <x:v>Infrastruktur / flexibel</x:v>
      </x:c>
      <x:c r="P47" s="9" t="str">
        <x:v>48×48 Noppen</x:v>
      </x:c>
      <x:c r="Q47" s="9" t="str">
        <x:v>latest_2331.txt</x:v>
      </x:c>
    </x:row>
    <x:row r="48">
      <x:c r="A48" s="9" t="str">
        <x:v>Blaue Bauplatte</x:v>
      </x:c>
      <x:c r="B48" s="9" t="str">
        <x:v>11025</x:v>
      </x:c>
      <x:c r="C48" s="21" t="n">
        <x:v>10</x:v>
      </x:c>
      <x:c r="D48" s="12" t="n">
        <x:v>40</x:v>
      </x:c>
      <x:c r="E48" s="12" t="n">
        <x:f>IF(OR(C48="",D48=""),"",C48*D48)</x:f>
        <x:v>400</x:v>
      </x:c>
      <x:c r="F48" s="12"/>
      <x:c r="G48" s="12" t="str">
        <x:f>IF(OR(C48="",F48=""),"",C48*F48)</x:f>
      </x:c>
      <x:c r="H48" s="22" t="n">
        <x:v>25.6</x:v>
      </x:c>
      <x:c r="I48" s="22" t="n">
        <x:v>25.6</x:v>
      </x:c>
      <x:c r="J48" s="22" t="n">
        <x:v>0.3</x:v>
      </x:c>
      <x:c r="K48" s="43" t="n">
        <x:f>IF(OR(H48="",I48=""),"",H48*I48/10000)</x:f>
        <x:v>0.06553600000000001</x:v>
      </x:c>
      <x:c r="L48" s="9" t="str">
        <x:v>geometrisch</x:v>
      </x:c>
      <x:c r="M48" s="9" t="str">
        <x:v>https://www.lego.com/de-de/product/blue-baseplate-11025</x:v>
      </x:c>
      <x:c r="N48" s="9" t="str">
        <x:v>Infrastruktur</x:v>
      </x:c>
      <x:c r="O48" s="9" t="str">
        <x:v>Infrastruktur / flexibel</x:v>
      </x:c>
      <x:c r="P48" s="9" t="str">
        <x:v>32×32 Noppen</x:v>
      </x:c>
      <x:c r="Q48" s="9" t="str">
        <x:v>latest_2330.txt</x:v>
      </x:c>
    </x:row>
    <x:row r="49">
      <x:c r="A49" s="9" t="str">
        <x:v>Weiße Bauplatte</x:v>
      </x:c>
      <x:c r="B49" s="9" t="str">
        <x:v>11026</x:v>
      </x:c>
      <x:c r="C49" s="21" t="n">
        <x:v>32</x:v>
      </x:c>
      <x:c r="D49" s="12"/>
      <x:c r="E49" s="12" t="str">
        <x:f>IF(OR(C49="",D49=""),"",C49*D49)</x:f>
      </x:c>
      <x:c r="F49" s="12"/>
      <x:c r="G49" s="12" t="str">
        <x:f>IF(OR(C49="",F49=""),"",C49*F49)</x:f>
      </x:c>
      <x:c r="H49" s="22" t="n">
        <x:v>25.6</x:v>
      </x:c>
      <x:c r="I49" s="22" t="n">
        <x:v>25.6</x:v>
      </x:c>
      <x:c r="J49" s="22" t="n">
        <x:v>0.3</x:v>
      </x:c>
      <x:c r="K49" s="43" t="n">
        <x:f>IF(OR(H49="",I49=""),"",H49*I49/10000)</x:f>
        <x:v>0.06553600000000001</x:v>
      </x:c>
      <x:c r="L49" s="9" t="str">
        <x:v>geometrisch</x:v>
      </x:c>
      <x:c r="M49" s="9" t="str">
        <x:v>https://www.lego.com/de-de/product/white-baseplate-11026</x:v>
      </x:c>
      <x:c r="N49" s="9" t="str">
        <x:v>Infrastruktur</x:v>
      </x:c>
      <x:c r="O49" s="9" t="str">
        <x:v>Infrastruktur / flexibel</x:v>
      </x:c>
      <x:c r="P49" s="9" t="str">
        <x:v>32×32 Noppen</x:v>
      </x:c>
      <x:c r="Q49" s="9" t="str">
        <x:v>latest_2347.txt</x:v>
      </x:c>
    </x:row>
    <x:row r="50">
      <x:c r="A50" s="9" t="str">
        <x:v>Shopping Street</x:v>
      </x:c>
      <x:c r="B50" s="9" t="str">
        <x:v>11371</x:v>
      </x:c>
      <x:c r="C50" s="21" t="n">
        <x:v>1</x:v>
      </x:c>
      <x:c r="D50" s="12" t="n">
        <x:v>245</x:v>
      </x:c>
      <x:c r="E50" s="12" t="n">
        <x:f>IF(OR(C50="",D50=""),"",C50*D50)</x:f>
        <x:v>245</x:v>
      </x:c>
      <x:c r="F50" s="12"/>
      <x:c r="G50" s="12" t="str">
        <x:f>IF(OR(C50="",F50=""),"",C50*F50)</x:f>
      </x:c>
      <x:c r="H50" s="22" t="n">
        <x:v>25</x:v>
      </x:c>
      <x:c r="I50" s="22" t="n">
        <x:v>25</x:v>
      </x:c>
      <x:c r="J50" s="22" t="n">
        <x:v>36</x:v>
      </x:c>
      <x:c r="K50" s="43" t="n">
        <x:f>IF(OR(H50="",I50=""),"",H50*I50/10000)</x:f>
        <x:v>0.0625</x:v>
      </x:c>
      <x:c r="L50" s="9" t="str">
        <x:v>offiziell</x:v>
      </x:c>
      <x:c r="M50" s="9" t="str">
        <x:v>https://www.lego.com/en-de/product/shopping-street-11371</x:v>
      </x:c>
      <x:c r="N50" s="9" t="str">
        <x:v>Stadtgebäude</x:v>
      </x:c>
      <x:c r="O50" s="9" t="str">
        <x:v>Innenstadt / Altstadt</x:v>
      </x:c>
      <x:c r="P50" s="9" t="str">
        <x:v>Gesamtmodell</x:v>
      </x:c>
      <x:c r="Q50" s="9" t="str">
        <x:v>latest_2316.txt</x:v>
      </x:c>
    </x:row>
    <x:row r="51">
      <x:c r="A51" s="9" t="str">
        <x:v>Ferrari F2004 &amp; Michael Schumacher</x:v>
      </x:c>
      <x:c r="B51" s="9" t="str">
        <x:v>11375</x:v>
      </x:c>
      <x:c r="C51" s="21" t="n">
        <x:v>1</x:v>
      </x:c>
      <x:c r="D51" s="12" t="n">
        <x:v>49</x:v>
      </x:c>
      <x:c r="E51" s="12" t="n">
        <x:f>IF(OR(C51="",D51=""),"",C51*D51)</x:f>
        <x:v>49</x:v>
      </x:c>
      <x:c r="F51" s="12"/>
      <x:c r="G51" s="12" t="str">
        <x:f>IF(OR(C51="",F51=""),"",C51*F51)</x:f>
      </x:c>
      <x:c r="H51" s="22" t="n">
        <x:v>32</x:v>
      </x:c>
      <x:c r="I51" s="22" t="n">
        <x:v>13</x:v>
      </x:c>
      <x:c r="J51" s="22" t="n">
        <x:v>7</x:v>
      </x:c>
      <x:c r="K51" s="43" t="n">
        <x:f>IF(OR(H51="",I51=""),"",H51*I51/10000)</x:f>
        <x:v>0.0416</x:v>
      </x:c>
      <x:c r="L51" s="9" t="str">
        <x:v>offiziell</x:v>
      </x:c>
      <x:c r="M51" s="9" t="str">
        <x:v>https://www.lego.com/de-de/product/ferrari-f2004-michael-schumacher-11375</x:v>
      </x:c>
      <x:c r="N51" s="9" t="str">
        <x:v>Fahrzeug</x:v>
      </x:c>
      <x:c r="O51" s="9" t="str">
        <x:v>Straßen / Verkehr</x:v>
      </x:c>
      <x:c r="P51" s="9" t="str">
        <x:v>Fahrzeug; Länge als Breite</x:v>
      </x:c>
      <x:c r="Q51" s="9" t="str">
        <x:v>latest_2316.txt</x:v>
      </x:c>
    </x:row>
    <x:row r="52">
      <x:c r="A52" s="9" t="str">
        <x:v>Burj Khalifa</x:v>
      </x:c>
      <x:c r="B52" s="9" t="str">
        <x:v>21008</x:v>
      </x:c>
      <x:c r="C52" s="21" t="n">
        <x:v>1</x:v>
      </x:c>
      <x:c r="D52" s="12" t="n">
        <x:v>35</x:v>
      </x:c>
      <x:c r="E52" s="12" t="n">
        <x:f>IF(OR(C52="",D52=""),"",C52*D52)</x:f>
        <x:v>35</x:v>
      </x:c>
      <x:c r="F52" s="12"/>
      <x:c r="G52" s="12" t="str">
        <x:f>IF(OR(C52="",F52=""),"",C52*F52)</x:f>
      </x:c>
      <x:c r="H52" s="22"/>
      <x:c r="I52" s="22"/>
      <x:c r="J52" s="22"/>
      <x:c r="K52" s="43" t="str">
        <x:f>IF(OR(H52="",I52=""),"",H52*I52/10000)</x:f>
      </x:c>
      <x:c r="L52" s="9" t="str">
        <x:v>offen</x:v>
      </x:c>
      <x:c r="M52" s="9" t="str"/>
      <x:c r="N52" s="9" t="str">
        <x:v>Architecture/Miniatur</x:v>
      </x:c>
      <x:c r="O52" s="9" t="str">
        <x:v>Weltpark / Miniatur-Ausstellung</x:v>
      </x:c>
      <x:c r="P52" s="9" t="str">
        <x:v>Noch keine verlässlichen aufgebauten Gesamtmaße eingetragen</x:v>
      </x:c>
      <x:c r="Q52" s="9" t="str">
        <x:v>latest_2354.txt</x:v>
      </x:c>
    </x:row>
    <x:row r="53">
      <x:c r="A53" s="9" t="str">
        <x:v>United Nations Headquarters</x:v>
      </x:c>
      <x:c r="B53" s="9" t="str">
        <x:v>21018</x:v>
      </x:c>
      <x:c r="C53" s="21" t="n">
        <x:v>1</x:v>
      </x:c>
      <x:c r="D53" s="12" t="n">
        <x:v>101</x:v>
      </x:c>
      <x:c r="E53" s="12" t="n">
        <x:f>IF(OR(C53="",D53=""),"",C53*D53)</x:f>
        <x:v>101</x:v>
      </x:c>
      <x:c r="F53" s="12"/>
      <x:c r="G53" s="12" t="str">
        <x:f>IF(OR(C53="",F53=""),"",C53*F53)</x:f>
      </x:c>
      <x:c r="H53" s="22" t="n">
        <x:v>21</x:v>
      </x:c>
      <x:c r="I53" s="22" t="n">
        <x:v>15</x:v>
      </x:c>
      <x:c r="J53" s="22" t="n">
        <x:v>14</x:v>
      </x:c>
      <x:c r="K53" s="43" t="n">
        <x:f>IF(OR(H53="",I53=""),"",H53*I53/10000)</x:f>
        <x:v>0.0315</x:v>
      </x:c>
      <x:c r="L53" s="9" t="str">
        <x:v>recherchiert</x:v>
      </x:c>
      <x:c r="M53" s="9" t="str">
        <x:v>https://de.legocentric.com/set/lego-architecture-21018-un-hauptquartier.html</x:v>
      </x:c>
      <x:c r="N53" s="9" t="str">
        <x:v>Architecture/Miniatur</x:v>
      </x:c>
      <x:c r="O53" s="9" t="str">
        <x:v>Weltpark / Miniatur-Ausstellung</x:v>
      </x:c>
      <x:c r="P53" s="9" t="str">
        <x:v>Architekturmodell</x:v>
      </x:c>
      <x:c r="Q53" s="9" t="str">
        <x:v>latest_2355.txt</x:v>
      </x:c>
    </x:row>
    <x:row r="54">
      <x:c r="A54" s="9" t="str">
        <x:v>Der Eiffelturm</x:v>
      </x:c>
      <x:c r="B54" s="9" t="str">
        <x:v>21019</x:v>
      </x:c>
      <x:c r="C54" s="21" t="n">
        <x:v>1</x:v>
      </x:c>
      <x:c r="D54" s="12" t="n">
        <x:v>55</x:v>
      </x:c>
      <x:c r="E54" s="12" t="n">
        <x:f>IF(OR(C54="",D54=""),"",C54*D54)</x:f>
        <x:v>55</x:v>
      </x:c>
      <x:c r="F54" s="12"/>
      <x:c r="G54" s="12" t="str">
        <x:f>IF(OR(C54="",F54=""),"",C54*F54)</x:f>
      </x:c>
      <x:c r="H54" s="22" t="n">
        <x:v>11</x:v>
      </x:c>
      <x:c r="I54" s="22" t="n">
        <x:v>11</x:v>
      </x:c>
      <x:c r="J54" s="22" t="n">
        <x:v>31</x:v>
      </x:c>
      <x:c r="K54" s="43" t="n">
        <x:f>IF(OR(H54="",I54=""),"",H54*I54/10000)</x:f>
        <x:v>0.0121</x:v>
      </x:c>
      <x:c r="L54" s="9" t="str">
        <x:v>recherchiert</x:v>
      </x:c>
      <x:c r="M54" s="9" t="str">
        <x:v>https://minitektur.jimdofree.com/architecture-by-lego/21019-eiffelturm/</x:v>
      </x:c>
      <x:c r="N54" s="9" t="str">
        <x:v>Architecture/Miniatur</x:v>
      </x:c>
      <x:c r="O54" s="9" t="str">
        <x:v>Weltpark / Miniatur-Ausstellung</x:v>
      </x:c>
      <x:c r="P54" s="9" t="str">
        <x:v>Architekturmodell</x:v>
      </x:c>
      <x:c r="Q54" s="9" t="str">
        <x:v>latest_2358.txt</x:v>
      </x:c>
    </x:row>
    <x:row r="55">
      <x:c r="A55" s="9" t="str">
        <x:v>Flatiron Building</x:v>
      </x:c>
      <x:c r="B55" s="9" t="str">
        <x:v>21023</x:v>
      </x:c>
      <x:c r="C55" s="21" t="n">
        <x:v>1</x:v>
      </x:c>
      <x:c r="D55" s="12" t="n">
        <x:v>39</x:v>
      </x:c>
      <x:c r="E55" s="12" t="n">
        <x:f>IF(OR(C55="",D55=""),"",C55*D55)</x:f>
        <x:v>39</x:v>
      </x:c>
      <x:c r="F55" s="12"/>
      <x:c r="G55" s="12" t="str">
        <x:f>IF(OR(C55="",F55=""),"",C55*F55)</x:f>
      </x:c>
      <x:c r="H55" s="22" t="n">
        <x:v>8</x:v>
      </x:c>
      <x:c r="I55" s="22" t="n">
        <x:v>11</x:v>
      </x:c>
      <x:c r="J55" s="22" t="n">
        <x:v>15</x:v>
      </x:c>
      <x:c r="K55" s="43" t="n">
        <x:f>IF(OR(H55="",I55=""),"",H55*I55/10000)</x:f>
        <x:v>0.0088</x:v>
      </x:c>
      <x:c r="L55" s="9" t="str">
        <x:v>recherchiert</x:v>
      </x:c>
      <x:c r="M55" s="9" t="str">
        <x:v>https://de.legocentric.com/set/lego-architecture-21023-flatiron-building.html</x:v>
      </x:c>
      <x:c r="N55" s="9" t="str">
        <x:v>Architecture/Miniatur</x:v>
      </x:c>
      <x:c r="O55" s="9" t="str">
        <x:v>Weltpark / Miniatur-Ausstellung</x:v>
      </x:c>
      <x:c r="P55" s="9" t="str">
        <x:v>Architekturmodell</x:v>
      </x:c>
      <x:c r="Q55" s="9" t="str">
        <x:v>latest_2354.txt</x:v>
      </x:c>
    </x:row>
    <x:row r="56">
      <x:c r="A56" s="9" t="str">
        <x:v>Louvre</x:v>
      </x:c>
      <x:c r="B56" s="9" t="str">
        <x:v>21024</x:v>
      </x:c>
      <x:c r="C56" s="21" t="n">
        <x:v>1</x:v>
      </x:c>
      <x:c r="D56" s="12"/>
      <x:c r="E56" s="12" t="str">
        <x:f>IF(OR(C56="",D56=""),"",C56*D56)</x:f>
      </x:c>
      <x:c r="F56" s="12"/>
      <x:c r="G56" s="12" t="str">
        <x:f>IF(OR(C56="",F56=""),"",C56*F56)</x:f>
      </x:c>
      <x:c r="H56" s="22" t="n">
        <x:v>17</x:v>
      </x:c>
      <x:c r="I56" s="22" t="n">
        <x:v>19</x:v>
      </x:c>
      <x:c r="J56" s="22" t="n">
        <x:v>13</x:v>
      </x:c>
      <x:c r="K56" s="43" t="n">
        <x:f>IF(OR(H56="",I56=""),"",H56*I56/10000)</x:f>
        <x:v>0.0323</x:v>
      </x:c>
      <x:c r="L56" s="9" t="str">
        <x:v>offiziell</x:v>
      </x:c>
      <x:c r="M56" s="9" t="str">
        <x:v>https://www.lego.com/de-lu/product/louvre-21024</x:v>
      </x:c>
      <x:c r="N56" s="9" t="str">
        <x:v>Architecture/Miniatur</x:v>
      </x:c>
      <x:c r="O56" s="9" t="str">
        <x:v>Weltpark / Miniatur-Ausstellung</x:v>
      </x:c>
      <x:c r="P56" s="9" t="str">
        <x:v>Architekturmodell</x:v>
      </x:c>
      <x:c r="Q56" s="9" t="str">
        <x:v>latest_2357.txt</x:v>
      </x:c>
    </x:row>
    <x:row r="57">
      <x:c r="A57" s="9" t="str">
        <x:v>Berlin</x:v>
      </x:c>
      <x:c r="B57" s="9" t="str">
        <x:v>21027</x:v>
      </x:c>
      <x:c r="C57" s="21" t="n">
        <x:v>1</x:v>
      </x:c>
      <x:c r="D57" s="12"/>
      <x:c r="E57" s="12" t="str">
        <x:f>IF(OR(C57="",D57=""),"",C57*D57)</x:f>
      </x:c>
      <x:c r="F57" s="12"/>
      <x:c r="G57" s="12" t="str">
        <x:f>IF(OR(C57="",F57=""),"",C57*F57)</x:f>
      </x:c>
      <x:c r="H57" s="22" t="n">
        <x:v>25</x:v>
      </x:c>
      <x:c r="I57" s="22" t="n">
        <x:v>5</x:v>
      </x:c>
      <x:c r="J57" s="22" t="n">
        <x:v>23</x:v>
      </x:c>
      <x:c r="K57" s="43" t="n">
        <x:f>IF(OR(H57="",I57=""),"",H57*I57/10000)</x:f>
        <x:v>0.0125</x:v>
      </x:c>
      <x:c r="L57" s="9" t="str">
        <x:v>recherchiert</x:v>
      </x:c>
      <x:c r="M57" s="9" t="str">
        <x:v>https://www.brickmerge.de/21027-1_lego-architecture-berlin</x:v>
      </x:c>
      <x:c r="N57" s="9" t="str">
        <x:v>Architecture/Miniatur</x:v>
      </x:c>
      <x:c r="O57" s="9" t="str">
        <x:v>Weltpark / Miniatur-Ausstellung</x:v>
      </x:c>
      <x:c r="P57" s="9" t="str">
        <x:v>Skyline</x:v>
      </x:c>
      <x:c r="Q57" s="9" t="str">
        <x:v>latest_2358.txt</x:v>
      </x:c>
    </x:row>
    <x:row r="58">
      <x:c r="A58" s="9" t="str">
        <x:v>New York City</x:v>
      </x:c>
      <x:c r="B58" s="9" t="str">
        <x:v>21028</x:v>
      </x:c>
      <x:c r="C58" s="21" t="n">
        <x:v>1</x:v>
      </x:c>
      <x:c r="D58" s="12" t="n">
        <x:v>20.95</x:v>
      </x:c>
      <x:c r="E58" s="12" t="n">
        <x:f>IF(OR(C58="",D58=""),"",C58*D58)</x:f>
        <x:v>20.95</x:v>
      </x:c>
      <x:c r="F58" s="12"/>
      <x:c r="G58" s="12" t="str">
        <x:f>IF(OR(C58="",F58=""),"",C58*F58)</x:f>
      </x:c>
      <x:c r="H58" s="22" t="n">
        <x:v>25</x:v>
      </x:c>
      <x:c r="I58" s="22" t="n">
        <x:v>4</x:v>
      </x:c>
      <x:c r="J58" s="22" t="n">
        <x:v>26</x:v>
      </x:c>
      <x:c r="K58" s="43" t="n">
        <x:f>IF(OR(H58="",I58=""),"",H58*I58/10000)</x:f>
        <x:v>0.01</x:v>
      </x:c>
      <x:c r="L58" s="9" t="str">
        <x:v>offiziell</x:v>
      </x:c>
      <x:c r="M58" s="9" t="str">
        <x:v>https://www.lego.com/de-at/product/new-york-city-21028</x:v>
      </x:c>
      <x:c r="N58" s="9" t="str">
        <x:v>Architecture/Miniatur</x:v>
      </x:c>
      <x:c r="O58" s="9" t="str">
        <x:v>Weltpark / Miniatur-Ausstellung</x:v>
      </x:c>
      <x:c r="P58" s="9" t="str">
        <x:v>Skyline</x:v>
      </x:c>
      <x:c r="Q58" s="9" t="str">
        <x:v>latest_2357.txt</x:v>
      </x:c>
    </x:row>
    <x:row r="59">
      <x:c r="A59" s="9" t="str">
        <x:v>Der Buckingham-Palast</x:v>
      </x:c>
      <x:c r="B59" s="9" t="str">
        <x:v>21029</x:v>
      </x:c>
      <x:c r="C59" s="21" t="n">
        <x:v>1</x:v>
      </x:c>
      <x:c r="D59" s="12" t="n">
        <x:v>65</x:v>
      </x:c>
      <x:c r="E59" s="12" t="n">
        <x:f>IF(OR(C59="",D59=""),"",C59*D59)</x:f>
        <x:v>65</x:v>
      </x:c>
      <x:c r="F59" s="12"/>
      <x:c r="G59" s="12" t="str">
        <x:f>IF(OR(C59="",F59=""),"",C59*F59)</x:f>
      </x:c>
      <x:c r="H59" s="22" t="n">
        <x:v>20</x:v>
      </x:c>
      <x:c r="I59" s="22" t="n">
        <x:v>19</x:v>
      </x:c>
      <x:c r="J59" s="22" t="n">
        <x:v>10</x:v>
      </x:c>
      <x:c r="K59" s="43" t="n">
        <x:f>IF(OR(H59="",I59=""),"",H59*I59/10000)</x:f>
        <x:v>0.038</x:v>
      </x:c>
      <x:c r="L59" s="9" t="str">
        <x:v>offiziell</x:v>
      </x:c>
      <x:c r="M59" s="9" t="str">
        <x:v>https://www.lego.com/en-gb/product/buckingham-palace-21029</x:v>
      </x:c>
      <x:c r="N59" s="9" t="str">
        <x:v>Architecture/Miniatur</x:v>
      </x:c>
      <x:c r="O59" s="9" t="str">
        <x:v>Weltpark / Miniatur-Ausstellung</x:v>
      </x:c>
      <x:c r="P59" s="9" t="str">
        <x:v>Architekturmodell</x:v>
      </x:c>
      <x:c r="Q59" s="9" t="str">
        <x:v>latest_2358.txt</x:v>
      </x:c>
    </x:row>
    <x:row r="60">
      <x:c r="A60" s="9" t="str">
        <x:v>London</x:v>
      </x:c>
      <x:c r="B60" s="9" t="str">
        <x:v>21034</x:v>
      </x:c>
      <x:c r="C60" s="21" t="n">
        <x:v>1</x:v>
      </x:c>
      <x:c r="D60" s="12" t="n">
        <x:v>29.9</x:v>
      </x:c>
      <x:c r="E60" s="12" t="n">
        <x:f>IF(OR(C60="",D60=""),"",C60*D60)</x:f>
        <x:v>29.9</x:v>
      </x:c>
      <x:c r="F60" s="12"/>
      <x:c r="G60" s="12" t="str">
        <x:f>IF(OR(C60="",F60=""),"",C60*F60)</x:f>
      </x:c>
      <x:c r="H60" s="22" t="n">
        <x:v>28</x:v>
      </x:c>
      <x:c r="I60" s="22" t="n">
        <x:v>8</x:v>
      </x:c>
      <x:c r="J60" s="22" t="n">
        <x:v>15</x:v>
      </x:c>
      <x:c r="K60" s="43" t="n">
        <x:f>IF(OR(H60="",I60=""),"",H60*I60/10000)</x:f>
        <x:v>0.0224</x:v>
      </x:c>
      <x:c r="L60" s="9" t="str">
        <x:v>offiziell</x:v>
      </x:c>
      <x:c r="M60" s="9" t="str">
        <x:v>https://www.lego.com/de-de/product/london-21034</x:v>
      </x:c>
      <x:c r="N60" s="9" t="str">
        <x:v>Architecture/Miniatur</x:v>
      </x:c>
      <x:c r="O60" s="9" t="str">
        <x:v>Weltpark / Miniatur-Ausstellung</x:v>
      </x:c>
      <x:c r="P60" s="9" t="str">
        <x:v>Skyline</x:v>
      </x:c>
      <x:c r="Q60" s="9" t="str">
        <x:v>latest_2359.txt</x:v>
      </x:c>
    </x:row>
    <x:row r="61">
      <x:c r="A61" s="9" t="str">
        <x:v>Der Triumphbogen</x:v>
      </x:c>
      <x:c r="B61" s="9" t="str">
        <x:v>21036</x:v>
      </x:c>
      <x:c r="C61" s="21" t="n">
        <x:v>1</x:v>
      </x:c>
      <x:c r="D61" s="12" t="n">
        <x:v>65</x:v>
      </x:c>
      <x:c r="E61" s="12" t="n">
        <x:f>IF(OR(C61="",D61=""),"",C61*D61)</x:f>
        <x:v>65</x:v>
      </x:c>
      <x:c r="F61" s="12"/>
      <x:c r="G61" s="12" t="str">
        <x:f>IF(OR(C61="",F61=""),"",C61*F61)</x:f>
      </x:c>
      <x:c r="H61" s="22"/>
      <x:c r="I61" s="22"/>
      <x:c r="J61" s="22"/>
      <x:c r="K61" s="43" t="str">
        <x:f>IF(OR(H61="",I61=""),"",H61*I61/10000)</x:f>
      </x:c>
      <x:c r="L61" s="9" t="str">
        <x:v>offen</x:v>
      </x:c>
      <x:c r="M61" s="9" t="str"/>
      <x:c r="N61" s="9" t="str">
        <x:v>Architecture/Miniatur</x:v>
      </x:c>
      <x:c r="O61" s="9" t="str">
        <x:v>Weltpark / Miniatur-Ausstellung</x:v>
      </x:c>
      <x:c r="P61" s="9" t="str">
        <x:v>Noch keine verlässlichen aufgebauten Gesamtmaße eingetragen</x:v>
      </x:c>
      <x:c r="Q61" s="9" t="str">
        <x:v>latest_2358.txt</x:v>
      </x:c>
    </x:row>
    <x:row r="62">
      <x:c r="A62" s="9" t="str">
        <x:v>LEGO® House</x:v>
      </x:c>
      <x:c r="B62" s="9" t="str">
        <x:v>21037</x:v>
      </x:c>
      <x:c r="C62" s="21" t="n">
        <x:v>1</x:v>
      </x:c>
      <x:c r="D62" s="12" t="n">
        <x:v>49.95</x:v>
      </x:c>
      <x:c r="E62" s="12" t="n">
        <x:f>IF(OR(C62="",D62=""),"",C62*D62)</x:f>
        <x:v>49.95</x:v>
      </x:c>
      <x:c r="F62" s="12"/>
      <x:c r="G62" s="12" t="str">
        <x:f>IF(OR(C62="",F62=""),"",C62*F62)</x:f>
      </x:c>
      <x:c r="H62" s="22"/>
      <x:c r="I62" s="22"/>
      <x:c r="J62" s="22"/>
      <x:c r="K62" s="43" t="str">
        <x:f>IF(OR(H62="",I62=""),"",H62*I62/10000)</x:f>
      </x:c>
      <x:c r="L62" s="9" t="str">
        <x:v>offen</x:v>
      </x:c>
      <x:c r="M62" s="9" t="str"/>
      <x:c r="N62" s="9" t="str">
        <x:v>Architecture/Miniatur</x:v>
      </x:c>
      <x:c r="O62" s="9" t="str">
        <x:v>Weltpark / Miniatur-Ausstellung</x:v>
      </x:c>
      <x:c r="P62" s="9" t="str">
        <x:v>Noch keine verlässlichen aufgebauten Gesamtmaße eingetragen</x:v>
      </x:c>
      <x:c r="Q62" s="9" t="str">
        <x:v>latest_2345.txt</x:v>
      </x:c>
    </x:row>
    <x:row r="63">
      <x:c r="A63" s="9" t="str">
        <x:v>Die Chinesische Mauer</x:v>
      </x:c>
      <x:c r="B63" s="9" t="str">
        <x:v>21041</x:v>
      </x:c>
      <x:c r="C63" s="21" t="n">
        <x:v>1</x:v>
      </x:c>
      <x:c r="D63" s="12" t="n">
        <x:v>39</x:v>
      </x:c>
      <x:c r="E63" s="12" t="n">
        <x:f>IF(OR(C63="",D63=""),"",C63*D63)</x:f>
        <x:v>39</x:v>
      </x:c>
      <x:c r="F63" s="12"/>
      <x:c r="G63" s="12" t="str">
        <x:f>IF(OR(C63="",F63=""),"",C63*F63)</x:f>
      </x:c>
      <x:c r="H63" s="22"/>
      <x:c r="I63" s="22"/>
      <x:c r="J63" s="22"/>
      <x:c r="K63" s="43" t="str">
        <x:f>IF(OR(H63="",I63=""),"",H63*I63/10000)</x:f>
      </x:c>
      <x:c r="L63" s="9" t="str">
        <x:v>offen</x:v>
      </x:c>
      <x:c r="M63" s="9" t="str"/>
      <x:c r="N63" s="9" t="str">
        <x:v>Architecture/Miniatur</x:v>
      </x:c>
      <x:c r="O63" s="9" t="str">
        <x:v>Weltpark / Miniatur-Ausstellung</x:v>
      </x:c>
      <x:c r="P63" s="9" t="str">
        <x:v>Noch keine verlässlichen aufgebauten Gesamtmaße eingetragen</x:v>
      </x:c>
      <x:c r="Q63" s="9" t="str">
        <x:v>latest_2353.txt</x:v>
      </x:c>
    </x:row>
    <x:row r="64">
      <x:c r="A64" s="9" t="str">
        <x:v>Freiheitsstatue</x:v>
      </x:c>
      <x:c r="B64" s="9" t="str">
        <x:v>21042</x:v>
      </x:c>
      <x:c r="C64" s="21" t="n">
        <x:v>1</x:v>
      </x:c>
      <x:c r="D64" s="12" t="n">
        <x:v>99.99</x:v>
      </x:c>
      <x:c r="E64" s="12" t="n">
        <x:f>IF(OR(C64="",D64=""),"",C64*D64)</x:f>
        <x:v>99.99</x:v>
      </x:c>
      <x:c r="F64" s="12"/>
      <x:c r="G64" s="12" t="str">
        <x:f>IF(OR(C64="",F64=""),"",C64*F64)</x:f>
      </x:c>
      <x:c r="H64" s="22"/>
      <x:c r="I64" s="22"/>
      <x:c r="J64" s="22"/>
      <x:c r="K64" s="43" t="str">
        <x:f>IF(OR(H64="",I64=""),"",H64*I64/10000)</x:f>
      </x:c>
      <x:c r="L64" s="9" t="str">
        <x:v>offen</x:v>
      </x:c>
      <x:c r="M64" s="9" t="str"/>
      <x:c r="N64" s="9" t="str">
        <x:v>Architecture/Miniatur</x:v>
      </x:c>
      <x:c r="O64" s="9" t="str">
        <x:v>Weltpark / Miniatur-Ausstellung</x:v>
      </x:c>
      <x:c r="P64" s="9" t="str">
        <x:v>Noch keine verlässlichen aufgebauten Gesamtmaße eingetragen</x:v>
      </x:c>
      <x:c r="Q64" s="9" t="str">
        <x:v>latest_2361.txt</x:v>
      </x:c>
    </x:row>
    <x:row r="65">
      <x:c r="A65" s="9" t="str">
        <x:v>San Francisco</x:v>
      </x:c>
      <x:c r="B65" s="9" t="str">
        <x:v>21043</x:v>
      </x:c>
      <x:c r="C65" s="21" t="n">
        <x:v>1</x:v>
      </x:c>
      <x:c r="D65" s="12" t="n">
        <x:v>38.01</x:v>
      </x:c>
      <x:c r="E65" s="12" t="n">
        <x:f>IF(OR(C65="",D65=""),"",C65*D65)</x:f>
        <x:v>38.01</x:v>
      </x:c>
      <x:c r="F65" s="12"/>
      <x:c r="G65" s="12" t="str">
        <x:f>IF(OR(C65="",F65=""),"",C65*F65)</x:f>
      </x:c>
      <x:c r="H65" s="22"/>
      <x:c r="I65" s="22"/>
      <x:c r="J65" s="22"/>
      <x:c r="K65" s="43" t="str">
        <x:f>IF(OR(H65="",I65=""),"",H65*I65/10000)</x:f>
      </x:c>
      <x:c r="L65" s="9" t="str">
        <x:v>offen</x:v>
      </x:c>
      <x:c r="M65" s="9" t="str"/>
      <x:c r="N65" s="9" t="str">
        <x:v>Architecture/Miniatur</x:v>
      </x:c>
      <x:c r="O65" s="9" t="str">
        <x:v>Weltpark / Miniatur-Ausstellung</x:v>
      </x:c>
      <x:c r="P65" s="9" t="str">
        <x:v>Noch keine verlässlichen aufgebauten Gesamtmaße eingetragen</x:v>
      </x:c>
      <x:c r="Q65" s="9" t="str">
        <x:v>latest_2354.txt</x:v>
      </x:c>
    </x:row>
    <x:row r="66">
      <x:c r="A66" s="9" t="str">
        <x:v>Trafalgar Square</x:v>
      </x:c>
      <x:c r="B66" s="9" t="str">
        <x:v>21045</x:v>
      </x:c>
      <x:c r="C66" s="21" t="n">
        <x:v>1</x:v>
      </x:c>
      <x:c r="D66" s="12" t="n">
        <x:v>79</x:v>
      </x:c>
      <x:c r="E66" s="12" t="n">
        <x:f>IF(OR(C66="",D66=""),"",C66*D66)</x:f>
        <x:v>79</x:v>
      </x:c>
      <x:c r="F66" s="12"/>
      <x:c r="G66" s="12" t="str">
        <x:f>IF(OR(C66="",F66=""),"",C66*F66)</x:f>
      </x:c>
      <x:c r="H66" s="22"/>
      <x:c r="I66" s="22"/>
      <x:c r="J66" s="22"/>
      <x:c r="K66" s="43" t="str">
        <x:f>IF(OR(H66="",I66=""),"",H66*I66/10000)</x:f>
      </x:c>
      <x:c r="L66" s="9" t="str">
        <x:v>offen</x:v>
      </x:c>
      <x:c r="M66" s="9" t="str"/>
      <x:c r="N66" s="9" t="str">
        <x:v>Architecture/Miniatur</x:v>
      </x:c>
      <x:c r="O66" s="9" t="str">
        <x:v>Weltpark / Miniatur-Ausstellung</x:v>
      </x:c>
      <x:c r="P66" s="9" t="str">
        <x:v>Noch keine verlässlichen aufgebauten Gesamtmaße eingetragen</x:v>
      </x:c>
      <x:c r="Q66" s="9" t="str">
        <x:v>latest_2355.txt</x:v>
      </x:c>
    </x:row>
    <x:row r="67">
      <x:c r="A67" s="9" t="str">
        <x:v>Empire State Building</x:v>
      </x:c>
      <x:c r="B67" s="9" t="str">
        <x:v>21046</x:v>
      </x:c>
      <x:c r="C67" s="21" t="n">
        <x:v>1</x:v>
      </x:c>
      <x:c r="D67" s="12" t="n">
        <x:v>99.9</x:v>
      </x:c>
      <x:c r="E67" s="12" t="n">
        <x:f>IF(OR(C67="",D67=""),"",C67*D67)</x:f>
        <x:v>99.9</x:v>
      </x:c>
      <x:c r="F67" s="12"/>
      <x:c r="G67" s="12" t="str">
        <x:f>IF(OR(C67="",F67=""),"",C67*F67)</x:f>
      </x:c>
      <x:c r="H67" s="22"/>
      <x:c r="I67" s="22"/>
      <x:c r="J67" s="22"/>
      <x:c r="K67" s="43" t="str">
        <x:f>IF(OR(H67="",I67=""),"",H67*I67/10000)</x:f>
      </x:c>
      <x:c r="L67" s="9" t="str">
        <x:v>offen</x:v>
      </x:c>
      <x:c r="M67" s="9" t="str"/>
      <x:c r="N67" s="9" t="str">
        <x:v>Architecture/Miniatur</x:v>
      </x:c>
      <x:c r="O67" s="9" t="str">
        <x:v>Weltpark / Miniatur-Ausstellung</x:v>
      </x:c>
      <x:c r="P67" s="9" t="str">
        <x:v>Noch keine verlässlichen aufgebauten Gesamtmaße eingetragen</x:v>
      </x:c>
      <x:c r="Q67" s="9" t="str">
        <x:v>latest_2361.txt</x:v>
      </x:c>
    </x:row>
    <x:row r="68">
      <x:c r="A68" s="9" t="str">
        <x:v>Las Vegas</x:v>
      </x:c>
      <x:c r="B68" s="9" t="str">
        <x:v>21047</x:v>
      </x:c>
      <x:c r="C68" s="21" t="n">
        <x:v>1</x:v>
      </x:c>
      <x:c r="D68" s="12" t="n">
        <x:v>69.69</x:v>
      </x:c>
      <x:c r="E68" s="12" t="n">
        <x:f>IF(OR(C68="",D68=""),"",C68*D68)</x:f>
        <x:v>69.69</x:v>
      </x:c>
      <x:c r="F68" s="12"/>
      <x:c r="G68" s="12" t="str">
        <x:f>IF(OR(C68="",F68=""),"",C68*F68)</x:f>
      </x:c>
      <x:c r="H68" s="22"/>
      <x:c r="I68" s="22"/>
      <x:c r="J68" s="22"/>
      <x:c r="K68" s="43" t="str">
        <x:f>IF(OR(H68="",I68=""),"",H68*I68/10000)</x:f>
      </x:c>
      <x:c r="L68" s="9" t="str">
        <x:v>offen</x:v>
      </x:c>
      <x:c r="M68" s="9" t="str"/>
      <x:c r="N68" s="9" t="str">
        <x:v>Architecture/Miniatur</x:v>
      </x:c>
      <x:c r="O68" s="9" t="str">
        <x:v>Weltpark / Miniatur-Ausstellung</x:v>
      </x:c>
      <x:c r="P68" s="9" t="str">
        <x:v>Noch keine verlässlichen aufgebauten Gesamtmaße eingetragen</x:v>
      </x:c>
      <x:c r="Q68" s="9" t="str">
        <x:v>latest_2357.txt</x:v>
      </x:c>
    </x:row>
    <x:row r="69">
      <x:c r="A69" s="9" t="str">
        <x:v>Taj Mahal</x:v>
      </x:c>
      <x:c r="B69" s="9" t="str">
        <x:v>21056</x:v>
      </x:c>
      <x:c r="C69" s="21" t="n">
        <x:v>1</x:v>
      </x:c>
      <x:c r="D69" s="12" t="n">
        <x:v>119</x:v>
      </x:c>
      <x:c r="E69" s="12" t="n">
        <x:f>IF(OR(C69="",D69=""),"",C69*D69)</x:f>
        <x:v>119</x:v>
      </x:c>
      <x:c r="F69" s="12"/>
      <x:c r="G69" s="12" t="str">
        <x:f>IF(OR(C69="",F69=""),"",C69*F69)</x:f>
      </x:c>
      <x:c r="H69" s="22"/>
      <x:c r="I69" s="22"/>
      <x:c r="J69" s="22"/>
      <x:c r="K69" s="43" t="str">
        <x:f>IF(OR(H69="",I69=""),"",H69*I69/10000)</x:f>
      </x:c>
      <x:c r="L69" s="9" t="str">
        <x:v>offen</x:v>
      </x:c>
      <x:c r="M69" s="9" t="str"/>
      <x:c r="N69" s="9" t="str">
        <x:v>Architecture/Miniatur</x:v>
      </x:c>
      <x:c r="O69" s="9" t="str">
        <x:v>Weltpark / Miniatur-Ausstellung</x:v>
      </x:c>
      <x:c r="P69" s="9" t="str">
        <x:v>Noch keine verlässlichen aufgebauten Gesamtmaße eingetragen</x:v>
      </x:c>
      <x:c r="Q69" s="9" t="str">
        <x:v>latest_2345.txt</x:v>
      </x:c>
    </x:row>
    <x:row r="70">
      <x:c r="A70" s="9" t="str">
        <x:v>Singapur</x:v>
      </x:c>
      <x:c r="B70" s="9" t="str">
        <x:v>21057</x:v>
      </x:c>
      <x:c r="C70" s="21" t="n">
        <x:v>1</x:v>
      </x:c>
      <x:c r="D70" s="12" t="n">
        <x:v>39.95</x:v>
      </x:c>
      <x:c r="E70" s="12" t="n">
        <x:f>IF(OR(C70="",D70=""),"",C70*D70)</x:f>
        <x:v>39.95</x:v>
      </x:c>
      <x:c r="F70" s="12"/>
      <x:c r="G70" s="12" t="str">
        <x:f>IF(OR(C70="",F70=""),"",C70*F70)</x:f>
      </x:c>
      <x:c r="H70" s="22"/>
      <x:c r="I70" s="22"/>
      <x:c r="J70" s="22"/>
      <x:c r="K70" s="43" t="str">
        <x:f>IF(OR(H70="",I70=""),"",H70*I70/10000)</x:f>
      </x:c>
      <x:c r="L70" s="9" t="str">
        <x:v>offen</x:v>
      </x:c>
      <x:c r="M70" s="9" t="str"/>
      <x:c r="N70" s="9" t="str">
        <x:v>Architecture/Miniatur</x:v>
      </x:c>
      <x:c r="O70" s="9" t="str">
        <x:v>Weltpark / Miniatur-Ausstellung</x:v>
      </x:c>
      <x:c r="P70" s="9" t="str">
        <x:v>Noch keine verlässlichen aufgebauten Gesamtmaße eingetragen</x:v>
      </x:c>
      <x:c r="Q70" s="9" t="str">
        <x:v>latest_2357.txt</x:v>
      </x:c>
    </x:row>
    <x:row r="71">
      <x:c r="A71" s="9" t="str">
        <x:v>Burg Himeji</x:v>
      </x:c>
      <x:c r="B71" s="9" t="str">
        <x:v>21060</x:v>
      </x:c>
      <x:c r="C71" s="21" t="n">
        <x:v>1</x:v>
      </x:c>
      <x:c r="D71" s="12" t="n">
        <x:v>111</x:v>
      </x:c>
      <x:c r="E71" s="12" t="n">
        <x:f>IF(OR(C71="",D71=""),"",C71*D71)</x:f>
        <x:v>111</x:v>
      </x:c>
      <x:c r="F71" s="12"/>
      <x:c r="G71" s="12" t="str">
        <x:f>IF(OR(C71="",F71=""),"",C71*F71)</x:f>
      </x:c>
      <x:c r="H71" s="22"/>
      <x:c r="I71" s="22"/>
      <x:c r="J71" s="22"/>
      <x:c r="K71" s="43" t="str">
        <x:f>IF(OR(H71="",I71=""),"",H71*I71/10000)</x:f>
      </x:c>
      <x:c r="L71" s="9" t="str">
        <x:v>offen</x:v>
      </x:c>
      <x:c r="M71" s="9" t="str"/>
      <x:c r="N71" s="9" t="str">
        <x:v>Architecture/Miniatur</x:v>
      </x:c>
      <x:c r="O71" s="9" t="str">
        <x:v>Weltpark / Miniatur-Ausstellung</x:v>
      </x:c>
      <x:c r="P71" s="9" t="str">
        <x:v>Noch keine verlässlichen aufgebauten Gesamtmaße eingetragen</x:v>
      </x:c>
      <x:c r="Q71" s="9" t="str">
        <x:v>latest_2353.txt</x:v>
      </x:c>
    </x:row>
    <x:row r="72">
      <x:c r="A72" s="9" t="str">
        <x:v>Notre-Dame de Paris</x:v>
      </x:c>
      <x:c r="B72" s="9" t="str">
        <x:v>21061</x:v>
      </x:c>
      <x:c r="C72" s="21" t="n">
        <x:v>1</x:v>
      </x:c>
      <x:c r="D72" s="12" t="n">
        <x:v>143</x:v>
      </x:c>
      <x:c r="E72" s="12" t="n">
        <x:f>IF(OR(C72="",D72=""),"",C72*D72)</x:f>
        <x:v>143</x:v>
      </x:c>
      <x:c r="F72" s="12"/>
      <x:c r="G72" s="12" t="str">
        <x:f>IF(OR(C72="",F72=""),"",C72*F72)</x:f>
      </x:c>
      <x:c r="H72" s="22"/>
      <x:c r="I72" s="22"/>
      <x:c r="J72" s="22"/>
      <x:c r="K72" s="43" t="str">
        <x:f>IF(OR(H72="",I72=""),"",H72*I72/10000)</x:f>
      </x:c>
      <x:c r="L72" s="9" t="str">
        <x:v>offen</x:v>
      </x:c>
      <x:c r="M72" s="9" t="str"/>
      <x:c r="N72" s="9" t="str">
        <x:v>Architecture/Miniatur</x:v>
      </x:c>
      <x:c r="O72" s="9" t="str">
        <x:v>Weltpark / Miniatur-Ausstellung</x:v>
      </x:c>
      <x:c r="P72" s="9" t="str">
        <x:v>Noch keine verlässlichen aufgebauten Gesamtmaße eingetragen</x:v>
      </x:c>
      <x:c r="Q72" s="9" t="str">
        <x:v>manual</x:v>
      </x:c>
    </x:row>
    <x:row r="73">
      <x:c r="A73" s="9" t="str">
        <x:v>Trevi-Brunnen</x:v>
      </x:c>
      <x:c r="B73" s="9" t="str">
        <x:v>21062</x:v>
      </x:c>
      <x:c r="C73" s="21" t="n">
        <x:v>1</x:v>
      </x:c>
      <x:c r="D73" s="12" t="n">
        <x:v>99</x:v>
      </x:c>
      <x:c r="E73" s="12" t="n">
        <x:f>IF(OR(C73="",D73=""),"",C73*D73)</x:f>
        <x:v>99</x:v>
      </x:c>
      <x:c r="F73" s="12"/>
      <x:c r="G73" s="12" t="str">
        <x:f>IF(OR(C73="",F73=""),"",C73*F73)</x:f>
      </x:c>
      <x:c r="H73" s="22"/>
      <x:c r="I73" s="22"/>
      <x:c r="J73" s="22"/>
      <x:c r="K73" s="43" t="str">
        <x:f>IF(OR(H73="",I73=""),"",H73*I73/10000)</x:f>
      </x:c>
      <x:c r="L73" s="9" t="str">
        <x:v>offen</x:v>
      </x:c>
      <x:c r="M73" s="9" t="str"/>
      <x:c r="N73" s="9" t="str">
        <x:v>Architecture/Miniatur</x:v>
      </x:c>
      <x:c r="O73" s="9" t="str">
        <x:v>Weltpark / Miniatur-Ausstellung</x:v>
      </x:c>
      <x:c r="P73" s="9" t="str">
        <x:v>Noch keine verlässlichen aufgebauten Gesamtmaße eingetragen</x:v>
      </x:c>
      <x:c r="Q73" s="9" t="str">
        <x:v>latest_2323.txt</x:v>
      </x:c>
    </x:row>
    <x:row r="74">
      <x:c r="A74" s="9" t="str">
        <x:v>Schloss Neuschwanstein</x:v>
      </x:c>
      <x:c r="B74" s="9" t="str">
        <x:v>21063</x:v>
      </x:c>
      <x:c r="C74" s="21" t="n">
        <x:v>1</x:v>
      </x:c>
      <x:c r="D74" s="12" t="n">
        <x:v>169</x:v>
      </x:c>
      <x:c r="E74" s="12" t="n">
        <x:f>IF(OR(C74="",D74=""),"",C74*D74)</x:f>
        <x:v>169</x:v>
      </x:c>
      <x:c r="F74" s="12"/>
      <x:c r="G74" s="12" t="str">
        <x:f>IF(OR(C74="",F74=""),"",C74*F74)</x:f>
      </x:c>
      <x:c r="H74" s="22"/>
      <x:c r="I74" s="22"/>
      <x:c r="J74" s="22"/>
      <x:c r="K74" s="43" t="str">
        <x:f>IF(OR(H74="",I74=""),"",H74*I74/10000)</x:f>
      </x:c>
      <x:c r="L74" s="9" t="str">
        <x:v>offen</x:v>
      </x:c>
      <x:c r="M74" s="9" t="str"/>
      <x:c r="N74" s="9" t="str">
        <x:v>Architecture/Miniatur</x:v>
      </x:c>
      <x:c r="O74" s="9" t="str">
        <x:v>Weltpark / Miniatur-Ausstellung</x:v>
      </x:c>
      <x:c r="P74" s="9" t="str">
        <x:v>Noch keine verlässlichen aufgebauten Gesamtmaße eingetragen</x:v>
      </x:c>
      <x:c r="Q74" s="9" t="str">
        <x:v>latest_2320.txt</x:v>
      </x:c>
    </x:row>
    <x:row r="75">
      <x:c r="A75" s="9" t="str">
        <x:v>Paris - City of Love</x:v>
      </x:c>
      <x:c r="B75" s="9" t="str">
        <x:v>21064</x:v>
      </x:c>
      <x:c r="C75" s="21" t="n">
        <x:v>1</x:v>
      </x:c>
      <x:c r="D75" s="12" t="n">
        <x:v>49</x:v>
      </x:c>
      <x:c r="E75" s="12" t="n">
        <x:f>IF(OR(C75="",D75=""),"",C75*D75)</x:f>
        <x:v>49</x:v>
      </x:c>
      <x:c r="F75" s="12"/>
      <x:c r="G75" s="12" t="str">
        <x:f>IF(OR(C75="",F75=""),"",C75*F75)</x:f>
      </x:c>
      <x:c r="H75" s="22"/>
      <x:c r="I75" s="22"/>
      <x:c r="J75" s="22"/>
      <x:c r="K75" s="43" t="str">
        <x:f>IF(OR(H75="",I75=""),"",H75*I75/10000)</x:f>
      </x:c>
      <x:c r="L75" s="9" t="str">
        <x:v>offen</x:v>
      </x:c>
      <x:c r="M75" s="9" t="str"/>
      <x:c r="N75" s="9" t="str">
        <x:v>Architecture/Miniatur</x:v>
      </x:c>
      <x:c r="O75" s="9" t="str">
        <x:v>Weltpark / Miniatur-Ausstellung</x:v>
      </x:c>
      <x:c r="P75" s="9" t="str">
        <x:v>Noch keine verlässlichen aufgebauten Gesamtmaße eingetragen</x:v>
      </x:c>
      <x:c r="Q75" s="9" t="str">
        <x:v>latest_2317.txt</x:v>
      </x:c>
    </x:row>
    <x:row r="76">
      <x:c r="A76" s="9" t="str">
        <x:v>Alter Angelladen</x:v>
      </x:c>
      <x:c r="B76" s="9" t="str">
        <x:v>21310</x:v>
      </x:c>
      <x:c r="C76" s="21" t="n">
        <x:v>1</x:v>
      </x:c>
      <x:c r="D76" s="12" t="n">
        <x:v>230</x:v>
      </x:c>
      <x:c r="E76" s="12" t="n">
        <x:f>IF(OR(C76="",D76=""),"",C76*D76)</x:f>
        <x:v>230</x:v>
      </x:c>
      <x:c r="F76" s="12"/>
      <x:c r="G76" s="12" t="str">
        <x:f>IF(OR(C76="",F76=""),"",C76*F76)</x:f>
      </x:c>
      <x:c r="H76" s="22" t="n">
        <x:v>25</x:v>
      </x:c>
      <x:c r="I76" s="22" t="n">
        <x:v>25</x:v>
      </x:c>
      <x:c r="J76" s="22" t="n">
        <x:v>32</x:v>
      </x:c>
      <x:c r="K76" s="43" t="n">
        <x:f>IF(OR(H76="",I76=""),"",H76*I76/10000)</x:f>
        <x:v>0.0625</x:v>
      </x:c>
      <x:c r="L76" s="9" t="str">
        <x:v>recherchiert</x:v>
      </x:c>
      <x:c r="M76" s="9" t="str">
        <x:v>https://www.brickwatch.net/de-DE/set/21310/Old-Fishing-Store.html</x:v>
      </x:c>
      <x:c r="N76" s="9" t="str">
        <x:v>Hafen/Piraten</x:v>
      </x:c>
      <x:c r="O76" s="9" t="str">
        <x:v>Hafen &amp; Küste</x:v>
      </x:c>
      <x:c r="P76" s="9" t="str">
        <x:v>Gesamtmodell</x:v>
      </x:c>
      <x:c r="Q76" s="9" t="str">
        <x:v>manual</x:v>
      </x:c>
    </x:row>
    <x:row r="77">
      <x:c r="A77" s="9" t="str">
        <x:v>The Flintstones</x:v>
      </x:c>
      <x:c r="B77" s="9" t="str">
        <x:v>21316</x:v>
      </x:c>
      <x:c r="C77" s="21" t="n">
        <x:v>1</x:v>
      </x:c>
      <x:c r="D77" s="12"/>
      <x:c r="E77" s="12" t="str">
        <x:f>IF(OR(C77="",D77=""),"",C77*D77)</x:f>
      </x:c>
      <x:c r="F77" s="12"/>
      <x:c r="G77" s="12" t="str">
        <x:f>IF(OR(C77="",F77=""),"",C77*F77)</x:f>
      </x:c>
      <x:c r="H77" s="22" t="n">
        <x:v>16</x:v>
      </x:c>
      <x:c r="I77" s="22" t="n">
        <x:v>12</x:v>
      </x:c>
      <x:c r="J77" s="22" t="n">
        <x:v>12</x:v>
      </x:c>
      <x:c r="K77" s="43" t="n">
        <x:f>IF(OR(H77="",I77=""),"",H77*I77/10000)</x:f>
        <x:v>0.0192</x:v>
      </x:c>
      <x:c r="L77" s="9" t="str">
        <x:v>offiziell</x:v>
      </x:c>
      <x:c r="M77" s="9" t="str">
        <x:v>https://www.lego.com/de-de/product/the-flintstones-21316</x:v>
      </x:c>
      <x:c r="N77" s="9" t="str">
        <x:v>Wohn-/Szenengebäude</x:v>
      </x:c>
      <x:c r="O77" s="9" t="str">
        <x:v>Wohnviertel</x:v>
      </x:c>
      <x:c r="P77" s="9" t="str">
        <x:v>Haus; Auto separat</x:v>
      </x:c>
      <x:c r="Q77" s="9" t="str">
        <x:v>latest_2335.txt</x:v>
      </x:c>
    </x:row>
    <x:row r="78">
      <x:c r="A78" s="9" t="str">
        <x:v>Steamboat Willie</x:v>
      </x:c>
      <x:c r="B78" s="9" t="str">
        <x:v>21317</x:v>
      </x:c>
      <x:c r="C78" s="21" t="n">
        <x:v>1</x:v>
      </x:c>
      <x:c r="D78" s="12" t="n">
        <x:v>170</x:v>
      </x:c>
      <x:c r="E78" s="12" t="n">
        <x:f>IF(OR(C78="",D78=""),"",C78*D78)</x:f>
        <x:v>170</x:v>
      </x:c>
      <x:c r="F78" s="12"/>
      <x:c r="G78" s="12" t="str">
        <x:f>IF(OR(C78="",F78=""),"",C78*F78)</x:f>
      </x:c>
      <x:c r="H78" s="22"/>
      <x:c r="I78" s="22"/>
      <x:c r="J78" s="22"/>
      <x:c r="K78" s="43" t="str">
        <x:f>IF(OR(H78="",I78=""),"",H78*I78/10000)</x:f>
      </x:c>
      <x:c r="L78" s="9" t="str">
        <x:v>offen</x:v>
      </x:c>
      <x:c r="M78" s="9" t="str"/>
      <x:c r="N78" s="9" t="str">
        <x:v>Ideas/Display</x:v>
      </x:c>
      <x:c r="O78" s="9" t="str">
        <x:v>Ausstellung / flexibel</x:v>
      </x:c>
      <x:c r="P78" s="9" t="str">
        <x:v>Noch keine verlässlichen aufgebauten Gesamtmaße eingetragen</x:v>
      </x:c>
      <x:c r="Q78" s="9" t="str">
        <x:v>latest_2352.txt</x:v>
      </x:c>
    </x:row>
    <x:row r="79">
      <x:c r="A79" s="9" t="str">
        <x:v>Baumhaus</x:v>
      </x:c>
      <x:c r="B79" s="9" t="str">
        <x:v>21318</x:v>
      </x:c>
      <x:c r="C79" s="21" t="n">
        <x:v>1</x:v>
      </x:c>
      <x:c r="D79" s="12" t="n">
        <x:v>189.9</x:v>
      </x:c>
      <x:c r="E79" s="12" t="n">
        <x:f>IF(OR(C79="",D79=""),"",C79*D79)</x:f>
        <x:v>189.9</x:v>
      </x:c>
      <x:c r="F79" s="12"/>
      <x:c r="G79" s="12" t="str">
        <x:f>IF(OR(C79="",F79=""),"",C79*F79)</x:f>
      </x:c>
      <x:c r="H79" s="22" t="n">
        <x:v>27</x:v>
      </x:c>
      <x:c r="I79" s="22" t="n">
        <x:v>24</x:v>
      </x:c>
      <x:c r="J79" s="22" t="n">
        <x:v>37</x:v>
      </x:c>
      <x:c r="K79" s="43" t="n">
        <x:f>IF(OR(H79="",I79=""),"",H79*I79/10000)</x:f>
        <x:v>0.0648</x:v>
      </x:c>
      <x:c r="L79" s="9" t="str">
        <x:v>offiziell</x:v>
      </x:c>
      <x:c r="M79" s="9" t="str">
        <x:v>https://www.lego.com/de-de/product/tree-house-21318</x:v>
      </x:c>
      <x:c r="N79" s="9" t="str">
        <x:v>Natur/Botanik</x:v>
      </x:c>
      <x:c r="O79" s="9" t="str">
        <x:v>Park &amp; Botanischer Bereich</x:v>
      </x:c>
      <x:c r="P79" s="9" t="str">
        <x:v>Gesamtmodell</x:v>
      </x:c>
      <x:c r="Q79" s="9" t="str">
        <x:v>latest_2313.txt</x:v>
      </x:c>
    </x:row>
    <x:row r="80">
      <x:c r="A80" s="9" t="str">
        <x:v>123 Sesame Street</x:v>
      </x:c>
      <x:c r="B80" s="9" t="str">
        <x:v>21324</x:v>
      </x:c>
      <x:c r="C80" s="21" t="n">
        <x:v>1</x:v>
      </x:c>
      <x:c r="D80" s="12" t="n">
        <x:v>128</x:v>
      </x:c>
      <x:c r="E80" s="12" t="n">
        <x:f>IF(OR(C80="",D80=""),"",C80*D80)</x:f>
        <x:v>128</x:v>
      </x:c>
      <x:c r="F80" s="12"/>
      <x:c r="G80" s="12" t="str">
        <x:f>IF(OR(C80="",F80=""),"",C80*F80)</x:f>
      </x:c>
      <x:c r="H80" s="22" t="n">
        <x:v>36.2</x:v>
      </x:c>
      <x:c r="I80" s="22" t="n">
        <x:v>21</x:v>
      </x:c>
      <x:c r="J80" s="22" t="n">
        <x:v>24</x:v>
      </x:c>
      <x:c r="K80" s="43" t="n">
        <x:f>IF(OR(H80="",I80=""),"",H80*I80/10000)</x:f>
        <x:v>0.07602</x:v>
      </x:c>
      <x:c r="L80" s="9" t="str">
        <x:v>offiziell</x:v>
      </x:c>
      <x:c r="M80" s="9" t="str">
        <x:v>https://www.lego.com/de-de/product/123-sesame-street-21324</x:v>
      </x:c>
      <x:c r="N80" s="9" t="str">
        <x:v>Wohn-/Szenengebäude</x:v>
      </x:c>
      <x:c r="O80" s="9" t="str">
        <x:v>Wohnviertel</x:v>
      </x:c>
      <x:c r="P80" s="9" t="str">
        <x:v>Gesamtmodell</x:v>
      </x:c>
      <x:c r="Q80" s="9" t="str">
        <x:v>latest_2335.txt</x:v>
      </x:c>
    </x:row>
    <x:row r="81">
      <x:c r="A81" s="9" t="str">
        <x:v>Mittelalterliche Schmiede</x:v>
      </x:c>
      <x:c r="B81" s="9" t="str">
        <x:v>21325</x:v>
      </x:c>
      <x:c r="C81" s="21" t="n">
        <x:v>1</x:v>
      </x:c>
      <x:c r="D81" s="12" t="n">
        <x:v>172.19</x:v>
      </x:c>
      <x:c r="E81" s="12" t="n">
        <x:f>IF(OR(C81="",D81=""),"",C81*D81)</x:f>
        <x:v>172.19</x:v>
      </x:c>
      <x:c r="F81" s="12"/>
      <x:c r="G81" s="12" t="str">
        <x:f>IF(OR(C81="",F81=""),"",C81*F81)</x:f>
      </x:c>
      <x:c r="H81" s="22" t="n">
        <x:v>27</x:v>
      </x:c>
      <x:c r="I81" s="22" t="n">
        <x:v>21</x:v>
      </x:c>
      <x:c r="J81" s="22" t="n">
        <x:v>27</x:v>
      </x:c>
      <x:c r="K81" s="43" t="n">
        <x:f>IF(OR(H81="",I81=""),"",H81*I81/10000)</x:f>
        <x:v>0.0567</x:v>
      </x:c>
      <x:c r="L81" s="9" t="str">
        <x:v>offiziell</x:v>
      </x:c>
      <x:c r="M81" s="9" t="str">
        <x:v>https://ideas.lego.com/blogs/a4ae09b6-0d4c-4307-9da8-3ee9f3d368d6/post/cf931491-098d-4ff2-8234-87f6d91d1b19</x:v>
      </x:c>
      <x:c r="N81" s="9" t="str">
        <x:v>Historisch/Fantasy</x:v>
      </x:c>
      <x:c r="O81" s="9" t="str">
        <x:v>Historisches Viertel</x:v>
      </x:c>
      <x:c r="P81" s="9" t="str">
        <x:v>Gesamtmodell</x:v>
      </x:c>
      <x:c r="Q81" s="9" t="str">
        <x:v>latest_2344.txt</x:v>
      </x:c>
    </x:row>
    <x:row r="82">
      <x:c r="A82" s="9" t="str">
        <x:v>Winnie Puh</x:v>
      </x:c>
      <x:c r="B82" s="9" t="str">
        <x:v>21326</x:v>
      </x:c>
      <x:c r="C82" s="21" t="n">
        <x:v>1</x:v>
      </x:c>
      <x:c r="D82" s="12" t="n">
        <x:v>109.99</x:v>
      </x:c>
      <x:c r="E82" s="12" t="n">
        <x:f>IF(OR(C82="",D82=""),"",C82*D82)</x:f>
        <x:v>109.99</x:v>
      </x:c>
      <x:c r="F82" s="12"/>
      <x:c r="G82" s="12" t="str">
        <x:f>IF(OR(C82="",F82=""),"",C82*F82)</x:f>
      </x:c>
      <x:c r="H82" s="22" t="n">
        <x:v>18</x:v>
      </x:c>
      <x:c r="I82" s="22" t="n">
        <x:v>24</x:v>
      </x:c>
      <x:c r="J82" s="22" t="n">
        <x:v>22</x:v>
      </x:c>
      <x:c r="K82" s="43" t="n">
        <x:f>IF(OR(H82="",I82=""),"",H82*I82/10000)</x:f>
        <x:v>0.0432</x:v>
      </x:c>
      <x:c r="L82" s="9" t="str">
        <x:v>offiziell</x:v>
      </x:c>
      <x:c r="M82" s="9" t="str">
        <x:v>https://www.lego.com/en-us/aboutus/news/2021/march/winnie-the-pooh</x:v>
      </x:c>
      <x:c r="N82" s="9" t="str">
        <x:v>Ideas/Display</x:v>
      </x:c>
      <x:c r="O82" s="9" t="str">
        <x:v>Ausstellung / flexibel</x:v>
      </x:c>
      <x:c r="P82" s="9" t="str">
        <x:v>Gesamtmodell</x:v>
      </x:c>
      <x:c r="Q82" s="9" t="str">
        <x:v>latest_2336.txt</x:v>
      </x:c>
    </x:row>
    <x:row r="83">
      <x:c r="A83" s="9" t="str">
        <x:v>LEGO® Ideas Home Alone</x:v>
      </x:c>
      <x:c r="B83" s="9" t="str">
        <x:v>21330</x:v>
      </x:c>
      <x:c r="C83" s="21" t="n">
        <x:v>1</x:v>
      </x:c>
      <x:c r="D83" s="12" t="n">
        <x:v>299.99</x:v>
      </x:c>
      <x:c r="E83" s="12" t="n">
        <x:f>IF(OR(C83="",D83=""),"",C83*D83)</x:f>
        <x:v>299.99</x:v>
      </x:c>
      <x:c r="F83" s="12"/>
      <x:c r="G83" s="12" t="str">
        <x:f>IF(OR(C83="",F83=""),"",C83*F83)</x:f>
      </x:c>
      <x:c r="H83" s="22" t="n">
        <x:v>34</x:v>
      </x:c>
      <x:c r="I83" s="22" t="n">
        <x:v>37</x:v>
      </x:c>
      <x:c r="J83" s="22" t="n">
        <x:v>27</x:v>
      </x:c>
      <x:c r="K83" s="43" t="n">
        <x:f>IF(OR(H83="",I83=""),"",H83*I83/10000)</x:f>
        <x:v>0.1258</x:v>
      </x:c>
      <x:c r="L83" s="9" t="str">
        <x:v>offiziell</x:v>
      </x:c>
      <x:c r="M83" s="9" t="str">
        <x:v>https://www.lego.com/de-de/product/lego-ideas-home-alone-21330</x:v>
      </x:c>
      <x:c r="N83" s="9" t="str">
        <x:v>Wohn-/Szenengebäude</x:v>
      </x:c>
      <x:c r="O83" s="9" t="str">
        <x:v>Wohnviertel</x:v>
      </x:c>
      <x:c r="P83" s="9" t="str">
        <x:v>Gesamtmodell</x:v>
      </x:c>
      <x:c r="Q83" s="9" t="str">
        <x:v>latest_2360.txt</x:v>
      </x:c>
    </x:row>
    <x:row r="84">
      <x:c r="A84" s="9" t="str">
        <x:v>Motorisierter Leuchtturm</x:v>
      </x:c>
      <x:c r="B84" s="9" t="str">
        <x:v>21335</x:v>
      </x:c>
      <x:c r="C84" s="21" t="n">
        <x:v>1</x:v>
      </x:c>
      <x:c r="D84" s="12" t="n">
        <x:v>210</x:v>
      </x:c>
      <x:c r="E84" s="12" t="n">
        <x:f>IF(OR(C84="",D84=""),"",C84*D84)</x:f>
        <x:v>210</x:v>
      </x:c>
      <x:c r="F84" s="12"/>
      <x:c r="G84" s="12" t="str">
        <x:f>IF(OR(C84="",F84=""),"",C84*F84)</x:f>
      </x:c>
      <x:c r="H84" s="22" t="n">
        <x:v>25</x:v>
      </x:c>
      <x:c r="I84" s="22" t="n">
        <x:v>25</x:v>
      </x:c>
      <x:c r="J84" s="22" t="n">
        <x:v>54</x:v>
      </x:c>
      <x:c r="K84" s="43" t="n">
        <x:f>IF(OR(H84="",I84=""),"",H84*I84/10000)</x:f>
        <x:v>0.0625</x:v>
      </x:c>
      <x:c r="L84" s="9" t="str">
        <x:v>offiziell</x:v>
      </x:c>
      <x:c r="M84" s="9" t="str">
        <x:v>https://www.lego.com/de-de/product/motorised-lighthouse-21335</x:v>
      </x:c>
      <x:c r="N84" s="9" t="str">
        <x:v>Hafen/Piraten</x:v>
      </x:c>
      <x:c r="O84" s="9" t="str">
        <x:v>Hafen &amp; Küste</x:v>
      </x:c>
      <x:c r="P84" s="9" t="str">
        <x:v>Gesamtmodell</x:v>
      </x:c>
      <x:c r="Q84" s="9" t="str">
        <x:v>latest_2340.txt</x:v>
      </x:c>
    </x:row>
    <x:row r="85">
      <x:c r="A85" s="9" t="str">
        <x:v>Finnhütte</x:v>
      </x:c>
      <x:c r="B85" s="9" t="str">
        <x:v>21338</x:v>
      </x:c>
      <x:c r="C85" s="21" t="n">
        <x:v>1</x:v>
      </x:c>
      <x:c r="D85" s="12" t="n">
        <x:v>145</x:v>
      </x:c>
      <x:c r="E85" s="12" t="n">
        <x:f>IF(OR(C85="",D85=""),"",C85*D85)</x:f>
        <x:v>145</x:v>
      </x:c>
      <x:c r="F85" s="12"/>
      <x:c r="G85" s="12" t="str">
        <x:f>IF(OR(C85="",F85=""),"",C85*F85)</x:f>
      </x:c>
      <x:c r="H85" s="22" t="n">
        <x:v>21</x:v>
      </x:c>
      <x:c r="I85" s="22" t="n">
        <x:v>22</x:v>
      </x:c>
      <x:c r="J85" s="22" t="n">
        <x:v>24</x:v>
      </x:c>
      <x:c r="K85" s="43" t="n">
        <x:f>IF(OR(H85="",I85=""),"",H85*I85/10000)</x:f>
        <x:v>0.0462</x:v>
      </x:c>
      <x:c r="L85" s="9" t="str">
        <x:v>offiziell</x:v>
      </x:c>
      <x:c r="M85" s="9" t="str">
        <x:v>https://www.lego.com/de-de/product/a-frame-cabin-21338</x:v>
      </x:c>
      <x:c r="N85" s="9" t="str">
        <x:v>Landhaus/Fantasy</x:v>
      </x:c>
      <x:c r="O85" s="9" t="str">
        <x:v>Landschaft / Randbezirk</x:v>
      </x:c>
      <x:c r="P85" s="9" t="str">
        <x:v>Hütte; Bäume umstellbar</x:v>
      </x:c>
      <x:c r="Q85" s="9" t="str">
        <x:v>latest_2326.txt</x:v>
      </x:c>
    </x:row>
    <x:row r="86">
      <x:c r="A86" s="9" t="str">
        <x:v>BTS Dynamite</x:v>
      </x:c>
      <x:c r="B86" s="9" t="str">
        <x:v>21339</x:v>
      </x:c>
      <x:c r="C86" s="21" t="n">
        <x:v>1</x:v>
      </x:c>
      <x:c r="D86" s="12" t="n">
        <x:v>59.99</x:v>
      </x:c>
      <x:c r="E86" s="12" t="n">
        <x:f>IF(OR(C86="",D86=""),"",C86*D86)</x:f>
        <x:v>59.99</x:v>
      </x:c>
      <x:c r="F86" s="12"/>
      <x:c r="G86" s="12" t="str">
        <x:f>IF(OR(C86="",F86=""),"",C86*F86)</x:f>
      </x:c>
      <x:c r="H86" s="22"/>
      <x:c r="I86" s="22"/>
      <x:c r="J86" s="22"/>
      <x:c r="K86" s="43" t="str">
        <x:f>IF(OR(H86="",I86=""),"",H86*I86/10000)</x:f>
      </x:c>
      <x:c r="L86" s="9" t="str">
        <x:v>offen</x:v>
      </x:c>
      <x:c r="M86" s="9" t="str"/>
      <x:c r="N86" s="9" t="str">
        <x:v>Ideas/Display</x:v>
      </x:c>
      <x:c r="O86" s="9" t="str">
        <x:v>Ausstellung / flexibel</x:v>
      </x:c>
      <x:c r="P86" s="9" t="str">
        <x:v>Noch keine verlässlichen aufgebauten Gesamtmaße eingetragen</x:v>
      </x:c>
      <x:c r="Q86" s="9" t="str">
        <x:v>latest_2335.txt</x:v>
      </x:c>
    </x:row>
    <x:row r="87">
      <x:c r="A87" s="9" t="str">
        <x:v>Disney Hocus Pocus: Das Hexenhaus...</x:v>
      </x:c>
      <x:c r="B87" s="9" t="str">
        <x:v>21341</x:v>
      </x:c>
      <x:c r="C87" s="21" t="n">
        <x:v>1</x:v>
      </x:c>
      <x:c r="D87" s="12" t="n">
        <x:v>161</x:v>
      </x:c>
      <x:c r="E87" s="12" t="n">
        <x:f>IF(OR(C87="",D87=""),"",C87*D87)</x:f>
        <x:v>161</x:v>
      </x:c>
      <x:c r="F87" s="12"/>
      <x:c r="G87" s="12" t="str">
        <x:f>IF(OR(C87="",F87=""),"",C87*F87)</x:f>
      </x:c>
      <x:c r="H87" s="22" t="n">
        <x:v>26</x:v>
      </x:c>
      <x:c r="I87" s="22" t="n">
        <x:v>24</x:v>
      </x:c>
      <x:c r="J87" s="22" t="n">
        <x:v>27</x:v>
      </x:c>
      <x:c r="K87" s="43" t="n">
        <x:f>IF(OR(H87="",I87=""),"",H87*I87/10000)</x:f>
        <x:v>0.0624</x:v>
      </x:c>
      <x:c r="L87" s="9" t="str">
        <x:v>offiziell</x:v>
      </x:c>
      <x:c r="M87" s="9" t="str">
        <x:v>https://www.lego.com/de-de/product/disney-hocus-pocus-the-sanderson-sisters-cottage-21341</x:v>
      </x:c>
      <x:c r="N87" s="9" t="str">
        <x:v>Landhaus/Fantasy</x:v>
      </x:c>
      <x:c r="O87" s="9" t="str">
        <x:v>Landschaft / Randbezirk</x:v>
      </x:c>
      <x:c r="P87" s="9" t="str">
        <x:v>Gesamtmodell</x:v>
      </x:c>
      <x:c r="Q87" s="9" t="str">
        <x:v>latest_2335.txt</x:v>
      </x:c>
    </x:row>
    <x:row r="88">
      <x:c r="A88" s="9" t="str">
        <x:v>Wikingerdorf</x:v>
      </x:c>
      <x:c r="B88" s="9" t="str">
        <x:v>21343</x:v>
      </x:c>
      <x:c r="C88" s="21" t="n">
        <x:v>1</x:v>
      </x:c>
      <x:c r="D88" s="12" t="n">
        <x:v>110</x:v>
      </x:c>
      <x:c r="E88" s="12" t="n">
        <x:f>IF(OR(C88="",D88=""),"",C88*D88)</x:f>
        <x:v>110</x:v>
      </x:c>
      <x:c r="F88" s="12"/>
      <x:c r="G88" s="12" t="str">
        <x:f>IF(OR(C88="",F88=""),"",C88*F88)</x:f>
      </x:c>
      <x:c r="H88" s="22" t="n">
        <x:v>46</x:v>
      </x:c>
      <x:c r="I88" s="22" t="n">
        <x:v>26</x:v>
      </x:c>
      <x:c r="J88" s="22" t="n">
        <x:v>24</x:v>
      </x:c>
      <x:c r="K88" s="43" t="n">
        <x:f>IF(OR(H88="",I88=""),"",H88*I88/10000)</x:f>
        <x:v>0.1196</x:v>
      </x:c>
      <x:c r="L88" s="9" t="str">
        <x:v>offiziell</x:v>
      </x:c>
      <x:c r="M88" s="9" t="str">
        <x:v>https://www.lego.com/de-de/product/viking-village-21343</x:v>
      </x:c>
      <x:c r="N88" s="9" t="str">
        <x:v>Historisch/Fantasy</x:v>
      </x:c>
      <x:c r="O88" s="9" t="str">
        <x:v>Historisches Viertel</x:v>
      </x:c>
      <x:c r="P88" s="9" t="str">
        <x:v>Gesamtmodell</x:v>
      </x:c>
      <x:c r="Q88" s="9" t="str">
        <x:v>latest_2330.txt</x:v>
      </x:c>
    </x:row>
    <x:row r="89">
      <x:c r="A89" s="9" t="str">
        <x:v>Der Orientexpress</x:v>
      </x:c>
      <x:c r="B89" s="9" t="str">
        <x:v>21344</x:v>
      </x:c>
      <x:c r="C89" s="21" t="n">
        <x:v>1</x:v>
      </x:c>
      <x:c r="D89" s="12" t="n">
        <x:v>299</x:v>
      </x:c>
      <x:c r="E89" s="12" t="n">
        <x:f>IF(OR(C89="",D89=""),"",C89*D89)</x:f>
        <x:v>299</x:v>
      </x:c>
      <x:c r="F89" s="12"/>
      <x:c r="G89" s="12" t="str">
        <x:f>IF(OR(C89="",F89=""),"",C89*F89)</x:f>
      </x:c>
      <x:c r="H89" s="22" t="n">
        <x:v>116</x:v>
      </x:c>
      <x:c r="I89" s="22" t="n">
        <x:v>8</x:v>
      </x:c>
      <x:c r="J89" s="22" t="n">
        <x:v>12</x:v>
      </x:c>
      <x:c r="K89" s="43" t="n">
        <x:f>IF(OR(H89="",I89=""),"",H89*I89/10000)</x:f>
        <x:v>0.0928</x:v>
      </x:c>
      <x:c r="L89" s="9" t="str">
        <x:v>offiziell</x:v>
      </x:c>
      <x:c r="M89" s="9" t="str">
        <x:v>https://www.lego.com/en-us/product/the-orient-express-train-21344</x:v>
      </x:c>
      <x:c r="N89" s="9" t="str">
        <x:v>Bahn</x:v>
      </x:c>
      <x:c r="O89" s="9" t="str">
        <x:v>Bahn &amp; Bahnhof</x:v>
      </x:c>
      <x:c r="P89" s="9" t="str">
        <x:v>Zug inklusive Präsentationsgleis</x:v>
      </x:c>
      <x:c r="Q89" s="9" t="str">
        <x:v>latest_2345.txt</x:v>
      </x:c>
    </x:row>
    <x:row r="90">
      <x:c r="A90" s="9" t="str">
        <x:v>Polaroid OneStep SX-70 Sofortbildkamera</x:v>
      </x:c>
      <x:c r="B90" s="9" t="str">
        <x:v>21345</x:v>
      </x:c>
      <x:c r="C90" s="21" t="n">
        <x:v>1</x:v>
      </x:c>
      <x:c r="D90" s="12"/>
      <x:c r="E90" s="12" t="str">
        <x:f>IF(OR(C90="",D90=""),"",C90*D90)</x:f>
      </x:c>
      <x:c r="F90" s="12"/>
      <x:c r="G90" s="12" t="str">
        <x:f>IF(OR(C90="",F90=""),"",C90*F90)</x:f>
      </x:c>
      <x:c r="H90" s="22"/>
      <x:c r="I90" s="22"/>
      <x:c r="J90" s="22"/>
      <x:c r="K90" s="43" t="str">
        <x:f>IF(OR(H90="",I90=""),"",H90*I90/10000)</x:f>
      </x:c>
      <x:c r="L90" s="9" t="str">
        <x:v>offen</x:v>
      </x:c>
      <x:c r="M90" s="9" t="str"/>
      <x:c r="N90" s="9" t="str">
        <x:v>Ideas/Display</x:v>
      </x:c>
      <x:c r="O90" s="9" t="str">
        <x:v>Ausstellung / flexibel</x:v>
      </x:c>
      <x:c r="P90" s="9" t="str">
        <x:v>Noch keine verlässlichen aufgebauten Gesamtmaße eingetragen</x:v>
      </x:c>
      <x:c r="Q90" s="9" t="str">
        <x:v>latest_2318.txt</x:v>
      </x:c>
    </x:row>
    <x:row r="91">
      <x:c r="A91" s="9" t="str">
        <x:v>Rote Londoner Telefonzelle</x:v>
      </x:c>
      <x:c r="B91" s="9" t="str">
        <x:v>21347</x:v>
      </x:c>
      <x:c r="C91" s="21" t="n">
        <x:v>1</x:v>
      </x:c>
      <x:c r="D91" s="12" t="n">
        <x:v>114.99</x:v>
      </x:c>
      <x:c r="E91" s="12" t="n">
        <x:f>IF(OR(C91="",D91=""),"",C91*D91)</x:f>
        <x:v>114.99</x:v>
      </x:c>
      <x:c r="F91" s="12"/>
      <x:c r="G91" s="12" t="str">
        <x:f>IF(OR(C91="",F91=""),"",C91*F91)</x:f>
      </x:c>
      <x:c r="H91" s="22" t="n">
        <x:v>19</x:v>
      </x:c>
      <x:c r="I91" s="22" t="n">
        <x:v>15</x:v>
      </x:c>
      <x:c r="J91" s="22" t="n">
        <x:v>31</x:v>
      </x:c>
      <x:c r="K91" s="43" t="n">
        <x:f>IF(OR(H91="",I91=""),"",H91*I91/10000)</x:f>
        <x:v>0.0285</x:v>
      </x:c>
      <x:c r="L91" s="9" t="str">
        <x:v>offiziell</x:v>
      </x:c>
      <x:c r="M91" s="9" t="str">
        <x:v>https://www.lego.com/en-us/product/red-london-telephone-box-21347</x:v>
      </x:c>
      <x:c r="N91" s="9" t="str">
        <x:v>Stadtobjekt/Deko</x:v>
      </x:c>
      <x:c r="O91" s="9" t="str">
        <x:v>Innenstadt / Plätze</x:v>
      </x:c>
      <x:c r="P91" s="9" t="str">
        <x:v>Gesamtmodell</x:v>
      </x:c>
      <x:c r="Q91" s="9" t="str">
        <x:v>latest_2338.txt</x:v>
      </x:c>
    </x:row>
    <x:row r="92">
      <x:c r="A92" s="9" t="str">
        <x:v>Disney Magie</x:v>
      </x:c>
      <x:c r="B92" s="9" t="str">
        <x:v>21352</x:v>
      </x:c>
      <x:c r="C92" s="21" t="n">
        <x:v>1</x:v>
      </x:c>
      <x:c r="D92" s="12" t="n">
        <x:v>0</x:v>
      </x:c>
      <x:c r="E92" s="12" t="str">
        <x:f>IF(OR(C92="",D92=""),"",C92*D92)</x:f>
      </x:c>
      <x:c r="F92" s="12"/>
      <x:c r="G92" s="12" t="str">
        <x:f>IF(OR(C92="",F92=""),"",C92*F92)</x:f>
      </x:c>
      <x:c r="H92" s="22"/>
      <x:c r="I92" s="22"/>
      <x:c r="J92" s="22"/>
      <x:c r="K92" s="43" t="str">
        <x:f>IF(OR(H92="",I92=""),"",H92*I92/10000)</x:f>
      </x:c>
      <x:c r="L92" s="9" t="str">
        <x:v>offen</x:v>
      </x:c>
      <x:c r="M92" s="9" t="str"/>
      <x:c r="N92" s="9" t="str">
        <x:v>Ideas/Display</x:v>
      </x:c>
      <x:c r="O92" s="9" t="str">
        <x:v>Ausstellung / flexibel</x:v>
      </x:c>
      <x:c r="P92" s="9" t="str">
        <x:v>Noch keine verlässlichen aufgebauten Gesamtmaße eingetragen</x:v>
      </x:c>
      <x:c r="Q92" s="9" t="str">
        <x:v>latest_2319.txt</x:v>
      </x:c>
    </x:row>
    <x:row r="93">
      <x:c r="A93" s="9" t="str">
        <x:v>Der botanische Garten</x:v>
      </x:c>
      <x:c r="B93" s="9" t="str">
        <x:v>21353</x:v>
      </x:c>
      <x:c r="C93" s="21" t="n">
        <x:v>1</x:v>
      </x:c>
      <x:c r="D93" s="12" t="n">
        <x:v>329</x:v>
      </x:c>
      <x:c r="E93" s="12" t="n">
        <x:f>IF(OR(C93="",D93=""),"",C93*D93)</x:f>
        <x:v>329</x:v>
      </x:c>
      <x:c r="F93" s="12"/>
      <x:c r="G93" s="12" t="str">
        <x:f>IF(OR(C93="",F93=""),"",C93*F93)</x:f>
      </x:c>
      <x:c r="H93" s="22" t="n">
        <x:v>51</x:v>
      </x:c>
      <x:c r="I93" s="22" t="n">
        <x:v>25</x:v>
      </x:c>
      <x:c r="J93" s="22" t="n">
        <x:v>22</x:v>
      </x:c>
      <x:c r="K93" s="43" t="n">
        <x:f>IF(OR(H93="",I93=""),"",H93*I93/10000)</x:f>
        <x:v>0.1275</x:v>
      </x:c>
      <x:c r="L93" s="9" t="str">
        <x:v>offiziell</x:v>
      </x:c>
      <x:c r="M93" s="9" t="str">
        <x:v>https://www.lego.com/de-de/product/the-botanical-garden-21353</x:v>
      </x:c>
      <x:c r="N93" s="9" t="str">
        <x:v>Natur/Botanik</x:v>
      </x:c>
      <x:c r="O93" s="9" t="str">
        <x:v>Park &amp; Botanischer Bereich</x:v>
      </x:c>
      <x:c r="P93" s="9" t="str">
        <x:v>Gesamtmodell</x:v>
      </x:c>
      <x:c r="Q93" s="9" t="str">
        <x:v>latest_2327.txt</x:v>
      </x:c>
    </x:row>
    <x:row r="94">
      <x:c r="A94" s="9" t="str">
        <x:v>Die Italienische Riviera</x:v>
      </x:c>
      <x:c r="B94" s="9" t="str">
        <x:v>21359</x:v>
      </x:c>
      <x:c r="C94" s="21" t="n">
        <x:v>1</x:v>
      </x:c>
      <x:c r="D94" s="12" t="n">
        <x:v>234</x:v>
      </x:c>
      <x:c r="E94" s="12" t="n">
        <x:f>IF(OR(C94="",D94=""),"",C94*D94)</x:f>
        <x:v>234</x:v>
      </x:c>
      <x:c r="F94" s="12"/>
      <x:c r="G94" s="12" t="str">
        <x:f>IF(OR(C94="",F94=""),"",C94*F94)</x:f>
      </x:c>
      <x:c r="H94" s="22" t="n">
        <x:v>34</x:v>
      </x:c>
      <x:c r="I94" s="22" t="n">
        <x:v>31</x:v>
      </x:c>
      <x:c r="J94" s="22" t="n">
        <x:v>23</x:v>
      </x:c>
      <x:c r="K94" s="43" t="n">
        <x:f>IF(OR(H94="",I94=""),"",H94*I94/10000)</x:f>
        <x:v>0.1054</x:v>
      </x:c>
      <x:c r="L94" s="9" t="str">
        <x:v>offiziell</x:v>
      </x:c>
      <x:c r="M94" s="9" t="str">
        <x:v>https://www.lego.com/en-de/product/italian-riviera-21359</x:v>
      </x:c>
      <x:c r="N94" s="9" t="str">
        <x:v>Stadtgebäude</x:v>
      </x:c>
      <x:c r="O94" s="9" t="str">
        <x:v>Innenstadt / Altstadt</x:v>
      </x:c>
      <x:c r="P94" s="9" t="str">
        <x:v>Gesamtmodell</x:v>
      </x:c>
      <x:c r="Q94" s="9" t="str">
        <x:v>latest_2320.txt</x:v>
      </x:c>
    </x:row>
    <x:row r="95">
      <x:c r="A95" s="9" t="str">
        <x:v>E.T. the Extra-Terrestrial</x:v>
      </x:c>
      <x:c r="B95" s="9" t="str">
        <x:v>21370</x:v>
      </x:c>
      <x:c r="C95" s="21" t="n">
        <x:v>1</x:v>
      </x:c>
      <x:c r="D95" s="12" t="n">
        <x:v>69</x:v>
      </x:c>
      <x:c r="E95" s="12" t="n">
        <x:f>IF(OR(C95="",D95=""),"",C95*D95)</x:f>
        <x:v>69</x:v>
      </x:c>
      <x:c r="F95" s="12"/>
      <x:c r="G95" s="12" t="str">
        <x:f>IF(OR(C95="",F95=""),"",C95*F95)</x:f>
      </x:c>
      <x:c r="H95" s="22"/>
      <x:c r="I95" s="22"/>
      <x:c r="J95" s="22"/>
      <x:c r="K95" s="43" t="str">
        <x:f>IF(OR(H95="",I95=""),"",H95*I95/10000)</x:f>
      </x:c>
      <x:c r="L95" s="9" t="str">
        <x:v>offen</x:v>
      </x:c>
      <x:c r="M95" s="9" t="str"/>
      <x:c r="N95" s="9" t="str">
        <x:v>Ideas/Display</x:v>
      </x:c>
      <x:c r="O95" s="9" t="str">
        <x:v>Ausstellung / flexibel</x:v>
      </x:c>
      <x:c r="P95" s="9" t="str">
        <x:v>Noch keine verlässlichen aufgebauten Gesamtmaße eingetragen</x:v>
      </x:c>
      <x:c r="Q95" s="9" t="str">
        <x:v>latest_2313.txt</x:v>
      </x:c>
    </x:row>
    <x:row r="96">
      <x:c r="A96" s="9" t="str">
        <x:v>Snowman</x:v>
      </x:c>
      <x:c r="B96" s="9" t="str">
        <x:v>30645</x:v>
      </x:c>
      <x:c r="C96" s="21" t="n">
        <x:v>2</x:v>
      </x:c>
      <x:c r="D96" s="12" t="n">
        <x:v>0</x:v>
      </x:c>
      <x:c r="E96" s="12" t="str">
        <x:f>IF(OR(C96="",D96=""),"",C96*D96)</x:f>
      </x:c>
      <x:c r="F96" s="12"/>
      <x:c r="G96" s="12" t="str">
        <x:f>IF(OR(C96="",F96=""),"",C96*F96)</x:f>
      </x:c>
      <x:c r="H96" s="22"/>
      <x:c r="I96" s="22"/>
      <x:c r="J96" s="22"/>
      <x:c r="K96" s="43" t="str">
        <x:f>IF(OR(H96="",I96=""),"",H96*I96/10000)</x:f>
      </x:c>
      <x:c r="L96" s="9" t="str">
        <x:v>offen</x:v>
      </x:c>
      <x:c r="M96" s="9" t="str"/>
      <x:c r="N96" s="9" t="str">
        <x:v>Winter/Weihnachten</x:v>
      </x:c>
      <x:c r="O96" s="9" t="str">
        <x:v>Weihnachtsdorf</x:v>
      </x:c>
      <x:c r="P96" s="9" t="str">
        <x:v>Noch keine verlässlichen aufgebauten Gesamtmaße eingetragen</x:v>
      </x:c>
      <x:c r="Q96" s="9" t="str">
        <x:v>latest_2352.txt</x:v>
      </x:c>
    </x:row>
    <x:row r="97">
      <x:c r="A97" s="9" t="str">
        <x:v>Cute Easter Bunny</x:v>
      </x:c>
      <x:c r="B97" s="9" t="str">
        <x:v>30716</x:v>
      </x:c>
      <x:c r="C97" s="21" t="n">
        <x:v>1</x:v>
      </x:c>
      <x:c r="D97" s="12" t="n">
        <x:v>0</x:v>
      </x:c>
      <x:c r="E97" s="12" t="str">
        <x:f>IF(OR(C97="",D97=""),"",C97*D97)</x:f>
      </x:c>
      <x:c r="F97" s="12"/>
      <x:c r="G97" s="12" t="str">
        <x:f>IF(OR(C97="",F97=""),"",C97*F97)</x:f>
      </x:c>
      <x:c r="H97" s="22"/>
      <x:c r="I97" s="22"/>
      <x:c r="J97" s="22"/>
      <x:c r="K97" s="43" t="str">
        <x:f>IF(OR(H97="",I97=""),"",H97*I97/10000)</x:f>
      </x:c>
      <x:c r="L97" s="9" t="str">
        <x:v>offen</x:v>
      </x:c>
      <x:c r="M97" s="9" t="str"/>
      <x:c r="N97" s="9" t="str">
        <x:v>Kleinszene/Deko</x:v>
      </x:c>
      <x:c r="O97" s="9" t="str">
        <x:v>Deko / flexibel</x:v>
      </x:c>
      <x:c r="P97" s="9" t="str">
        <x:v>Noch keine verlässlichen aufgebauten Gesamtmaße eingetragen</x:v>
      </x:c>
      <x:c r="Q97" s="9" t="str">
        <x:v>latest_2315.txt</x:v>
      </x:c>
    </x:row>
    <x:row r="98">
      <x:c r="A98" s="9" t="str">
        <x:v>Christmas Tree Stand</x:v>
      </x:c>
      <x:c r="B98" s="9" t="str">
        <x:v>40082</x:v>
      </x:c>
      <x:c r="C98" s="21" t="n">
        <x:v>1</x:v>
      </x:c>
      <x:c r="D98" s="12" t="n">
        <x:v>10.5</x:v>
      </x:c>
      <x:c r="E98" s="12" t="n">
        <x:f>IF(OR(C98="",D98=""),"",C98*D98)</x:f>
        <x:v>10.5</x:v>
      </x:c>
      <x:c r="F98" s="12"/>
      <x:c r="G98" s="12" t="str">
        <x:f>IF(OR(C98="",F98=""),"",C98*F98)</x:f>
      </x:c>
      <x:c r="H98" s="22"/>
      <x:c r="I98" s="22"/>
      <x:c r="J98" s="22"/>
      <x:c r="K98" s="43" t="str">
        <x:f>IF(OR(H98="",I98=""),"",H98*I98/10000)</x:f>
      </x:c>
      <x:c r="L98" s="9" t="str">
        <x:v>offen</x:v>
      </x:c>
      <x:c r="M98" s="9" t="str"/>
      <x:c r="N98" s="9" t="str">
        <x:v>Winter/Weihnachten</x:v>
      </x:c>
      <x:c r="O98" s="9" t="str">
        <x:v>Weihnachtsdorf</x:v>
      </x:c>
      <x:c r="P98" s="9" t="str">
        <x:v>Noch keine verlässlichen aufgebauten Gesamtmaße eingetragen</x:v>
      </x:c>
      <x:c r="Q98" s="9" t="str">
        <x:v>latest_2351.txt</x:v>
      </x:c>
    </x:row>
    <x:row r="99">
      <x:c r="A99" s="9" t="str">
        <x:v>LEGO® Londoner Bus</x:v>
      </x:c>
      <x:c r="B99" s="9" t="str">
        <x:v>40220</x:v>
      </x:c>
      <x:c r="C99" s="21" t="n">
        <x:v>1</x:v>
      </x:c>
      <x:c r="D99" s="12" t="n">
        <x:v>9.5</x:v>
      </x:c>
      <x:c r="E99" s="12" t="n">
        <x:f>IF(OR(C99="",D99=""),"",C99*D99)</x:f>
        <x:v>9.5</x:v>
      </x:c>
      <x:c r="F99" s="12"/>
      <x:c r="G99" s="12" t="str">
        <x:f>IF(OR(C99="",F99=""),"",C99*F99)</x:f>
      </x:c>
      <x:c r="H99" s="22"/>
      <x:c r="I99" s="22"/>
      <x:c r="J99" s="22"/>
      <x:c r="K99" s="43" t="str">
        <x:f>IF(OR(H99="",I99=""),"",H99*I99/10000)</x:f>
      </x:c>
      <x:c r="L99" s="9" t="str">
        <x:v>offen</x:v>
      </x:c>
      <x:c r="M99" s="9" t="str"/>
      <x:c r="N99" s="9" t="str">
        <x:v>Fahrzeug</x:v>
      </x:c>
      <x:c r="O99" s="9" t="str">
        <x:v>Straßen / Verkehr</x:v>
      </x:c>
      <x:c r="P99" s="9" t="str">
        <x:v>Noch keine verlässlichen aufgebauten Gesamtmaße eingetragen</x:v>
      </x:c>
      <x:c r="Q99" s="9" t="str">
        <x:v>latest_2346.txt</x:v>
      </x:c>
    </x:row>
    <x:row r="100">
      <x:c r="A100" s="9" t="str">
        <x:v>Schlitten des Weihnachtsmanns</x:v>
      </x:c>
      <x:c r="B100" s="9" t="str">
        <x:v>40499</x:v>
      </x:c>
      <x:c r="C100" s="21" t="n">
        <x:v>1</x:v>
      </x:c>
      <x:c r="D100" s="12" t="n">
        <x:v>36.99</x:v>
      </x:c>
      <x:c r="E100" s="12" t="n">
        <x:f>IF(OR(C100="",D100=""),"",C100*D100)</x:f>
        <x:v>36.99</x:v>
      </x:c>
      <x:c r="F100" s="12"/>
      <x:c r="G100" s="12" t="str">
        <x:f>IF(OR(C100="",F100=""),"",C100*F100)</x:f>
      </x:c>
      <x:c r="H100" s="22"/>
      <x:c r="I100" s="22"/>
      <x:c r="J100" s="22"/>
      <x:c r="K100" s="43" t="str">
        <x:f>IF(OR(H100="",I100=""),"",H100*I100/10000)</x:f>
      </x:c>
      <x:c r="L100" s="9" t="str">
        <x:v>offen</x:v>
      </x:c>
      <x:c r="M100" s="9" t="str"/>
      <x:c r="N100" s="9" t="str">
        <x:v>Winter/Weihnachten</x:v>
      </x:c>
      <x:c r="O100" s="9" t="str">
        <x:v>Weihnachtsdorf</x:v>
      </x:c>
      <x:c r="P100" s="9" t="str">
        <x:v>Noch keine verlässlichen aufgebauten Gesamtmaße eingetragen</x:v>
      </x:c>
      <x:c r="Q100" s="9" t="str">
        <x:v>latest_2351.txt</x:v>
      </x:c>
    </x:row>
    <x:row r="101">
      <x:c r="A101" s="9" t="str">
        <x:v>Postkarte aus New York</x:v>
      </x:c>
      <x:c r="B101" s="9" t="str">
        <x:v>40519</x:v>
      </x:c>
      <x:c r="C101" s="21" t="n">
        <x:v>1</x:v>
      </x:c>
      <x:c r="D101" s="12"/>
      <x:c r="E101" s="12" t="str">
        <x:f>IF(OR(C101="",D101=""),"",C101*D101)</x:f>
      </x:c>
      <x:c r="F101" s="12"/>
      <x:c r="G101" s="12" t="str">
        <x:f>IF(OR(C101="",F101=""),"",C101*F101)</x:f>
      </x:c>
      <x:c r="H101" s="22"/>
      <x:c r="I101" s="22"/>
      <x:c r="J101" s="22"/>
      <x:c r="K101" s="43" t="str">
        <x:f>IF(OR(H101="",I101=""),"",H101*I101/10000)</x:f>
      </x:c>
      <x:c r="L101" s="9" t="str">
        <x:v>offen</x:v>
      </x:c>
      <x:c r="M101" s="9" t="str"/>
      <x:c r="N101" s="9" t="str">
        <x:v>Stadtobjekt/Deko</x:v>
      </x:c>
      <x:c r="O101" s="9" t="str">
        <x:v>Innenstadt / Plätze</x:v>
      </x:c>
      <x:c r="P101" s="9" t="str">
        <x:v>Noch keine verlässlichen aufgebauten Gesamtmaße eingetragen</x:v>
      </x:c>
      <x:c r="Q101" s="9" t="str">
        <x:v>latest_2345.txt</x:v>
      </x:c>
    </x:row>
    <x:row r="102">
      <x:c r="A102" s="9" t="str">
        <x:v>Postkarte aus London</x:v>
      </x:c>
      <x:c r="B102" s="9" t="str">
        <x:v>40569</x:v>
      </x:c>
      <x:c r="C102" s="21" t="n">
        <x:v>1</x:v>
      </x:c>
      <x:c r="D102" s="12" t="n">
        <x:v>14.95</x:v>
      </x:c>
      <x:c r="E102" s="12" t="n">
        <x:f>IF(OR(C102="",D102=""),"",C102*D102)</x:f>
        <x:v>14.95</x:v>
      </x:c>
      <x:c r="F102" s="12"/>
      <x:c r="G102" s="12" t="str">
        <x:f>IF(OR(C102="",F102=""),"",C102*F102)</x:f>
      </x:c>
      <x:c r="H102" s="22"/>
      <x:c r="I102" s="22"/>
      <x:c r="J102" s="22"/>
      <x:c r="K102" s="43" t="str">
        <x:f>IF(OR(H102="",I102=""),"",H102*I102/10000)</x:f>
      </x:c>
      <x:c r="L102" s="9" t="str">
        <x:v>offen</x:v>
      </x:c>
      <x:c r="M102" s="9" t="str"/>
      <x:c r="N102" s="9" t="str">
        <x:v>Stadtobjekt/Deko</x:v>
      </x:c>
      <x:c r="O102" s="9" t="str">
        <x:v>Innenstadt / Plätze</x:v>
      </x:c>
      <x:c r="P102" s="9" t="str">
        <x:v>Noch keine verlässlichen aufgebauten Gesamtmaße eingetragen</x:v>
      </x:c>
      <x:c r="Q102" s="9" t="str">
        <x:v>latest_2346.txt</x:v>
      </x:c>
    </x:row>
    <x:row r="103">
      <x:c r="A103" s="9" t="str">
        <x:v>Eisbären im Winter</x:v>
      </x:c>
      <x:c r="B103" s="9" t="str">
        <x:v>40571</x:v>
      </x:c>
      <x:c r="C103" s="21" t="n">
        <x:v>1</x:v>
      </x:c>
      <x:c r="D103" s="12" t="n">
        <x:v>0</x:v>
      </x:c>
      <x:c r="E103" s="12" t="str">
        <x:f>IF(OR(C103="",D103=""),"",C103*D103)</x:f>
      </x:c>
      <x:c r="F103" s="12"/>
      <x:c r="G103" s="12" t="str">
        <x:f>IF(OR(C103="",F103=""),"",C103*F103)</x:f>
      </x:c>
      <x:c r="H103" s="22"/>
      <x:c r="I103" s="22"/>
      <x:c r="J103" s="22"/>
      <x:c r="K103" s="43" t="str">
        <x:f>IF(OR(H103="",I103=""),"",H103*I103/10000)</x:f>
      </x:c>
      <x:c r="L103" s="9" t="str">
        <x:v>offen</x:v>
      </x:c>
      <x:c r="M103" s="9" t="str"/>
      <x:c r="N103" s="9" t="str">
        <x:v>Winter/Weihnachten</x:v>
      </x:c>
      <x:c r="O103" s="9" t="str">
        <x:v>Weihnachtsdorf</x:v>
      </x:c>
      <x:c r="P103" s="9" t="str">
        <x:v>Noch keine verlässlichen aufgebauten Gesamtmaße eingetragen</x:v>
      </x:c>
      <x:c r="Q103" s="9" t="str">
        <x:v>latest_2348.txt</x:v>
      </x:c>
    </x:row>
    <x:row r="104">
      <x:c r="A104" s="9" t="str">
        <x:v>Weihnachtsbaum</x:v>
      </x:c>
      <x:c r="B104" s="9" t="str">
        <x:v>40573</x:v>
      </x:c>
      <x:c r="C104" s="21" t="n">
        <x:v>1</x:v>
      </x:c>
      <x:c r="D104" s="12" t="n">
        <x:v>39.99</x:v>
      </x:c>
      <x:c r="E104" s="12" t="n">
        <x:f>IF(OR(C104="",D104=""),"",C104*D104)</x:f>
        <x:v>39.99</x:v>
      </x:c>
      <x:c r="F104" s="12"/>
      <x:c r="G104" s="12" t="str">
        <x:f>IF(OR(C104="",F104=""),"",C104*F104)</x:f>
      </x:c>
      <x:c r="H104" s="22"/>
      <x:c r="I104" s="22"/>
      <x:c r="J104" s="22"/>
      <x:c r="K104" s="43" t="str">
        <x:f>IF(OR(H104="",I104=""),"",H104*I104/10000)</x:f>
      </x:c>
      <x:c r="L104" s="9" t="str">
        <x:v>offen</x:v>
      </x:c>
      <x:c r="M104" s="9" t="str"/>
      <x:c r="N104" s="9" t="str">
        <x:v>Winter/Weihnachten</x:v>
      </x:c>
      <x:c r="O104" s="9" t="str">
        <x:v>Weihnachtsdorf</x:v>
      </x:c>
      <x:c r="P104" s="9" t="str">
        <x:v>Noch keine verlässlichen aufgebauten Gesamtmaße eingetragen</x:v>
      </x:c>
      <x:c r="Q104" s="9" t="str">
        <x:v>latest_2350.txt</x:v>
      </x:c>
    </x:row>
    <x:row r="105">
      <x:c r="A105" s="9" t="str">
        <x:v>Blacktron-Raumschiff</x:v>
      </x:c>
      <x:c r="B105" s="9" t="str">
        <x:v>40580</x:v>
      </x:c>
      <x:c r="C105" s="21" t="n">
        <x:v>1</x:v>
      </x:c>
      <x:c r="D105" s="12" t="n">
        <x:v>0</x:v>
      </x:c>
      <x:c r="E105" s="12" t="str">
        <x:f>IF(OR(C105="",D105=""),"",C105*D105)</x:f>
      </x:c>
      <x:c r="F105" s="12"/>
      <x:c r="G105" s="12" t="str">
        <x:f>IF(OR(C105="",F105=""),"",C105*F105)</x:f>
      </x:c>
      <x:c r="H105" s="22"/>
      <x:c r="I105" s="22"/>
      <x:c r="J105" s="22"/>
      <x:c r="K105" s="43" t="str">
        <x:f>IF(OR(H105="",I105=""),"",H105*I105/10000)</x:f>
      </x:c>
      <x:c r="L105" s="9" t="str">
        <x:v>offen</x:v>
      </x:c>
      <x:c r="M105" s="9" t="str"/>
      <x:c r="N105" s="9" t="str">
        <x:v>Raumfahrt/Technik</x:v>
      </x:c>
      <x:c r="O105" s="9" t="str">
        <x:v>Technik- &amp; Raumfahrtmuseum</x:v>
      </x:c>
      <x:c r="P105" s="9" t="str">
        <x:v>Noch keine verlässlichen aufgebauten Gesamtmaße eingetragen</x:v>
      </x:c>
      <x:c r="Q105" s="9" t="str">
        <x:v>latest_2360.txt</x:v>
      </x:c>
    </x:row>
    <x:row r="106">
      <x:c r="A106" s="9" t="str">
        <x:v>Umzugswagen</x:v>
      </x:c>
      <x:c r="B106" s="9" t="str">
        <x:v>40586</x:v>
      </x:c>
      <x:c r="C106" s="21" t="n">
        <x:v>1</x:v>
      </x:c>
      <x:c r="D106" s="12" t="n">
        <x:v>0</x:v>
      </x:c>
      <x:c r="E106" s="12" t="str">
        <x:f>IF(OR(C106="",D106=""),"",C106*D106)</x:f>
      </x:c>
      <x:c r="F106" s="12"/>
      <x:c r="G106" s="12" t="str">
        <x:f>IF(OR(C106="",F106=""),"",C106*F106)</x:f>
      </x:c>
      <x:c r="H106" s="22"/>
      <x:c r="I106" s="22"/>
      <x:c r="J106" s="22"/>
      <x:c r="K106" s="43" t="str">
        <x:f>IF(OR(H106="",I106=""),"",H106*I106/10000)</x:f>
      </x:c>
      <x:c r="L106" s="9" t="str">
        <x:v>offen</x:v>
      </x:c>
      <x:c r="M106" s="9" t="str"/>
      <x:c r="N106" s="9" t="str">
        <x:v>Fahrzeug</x:v>
      </x:c>
      <x:c r="O106" s="9" t="str">
        <x:v>Straßen / Verkehr</x:v>
      </x:c>
      <x:c r="P106" s="9" t="str">
        <x:v>Noch keine verlässlichen aufgebauten Gesamtmaße eingetragen</x:v>
      </x:c>
      <x:c r="Q106" s="9" t="str">
        <x:v>latest_2324.txt</x:v>
      </x:c>
    </x:row>
    <x:row r="107">
      <x:c r="A107" s="9" t="str">
        <x:v>Weihnachtskutsche</x:v>
      </x:c>
      <x:c r="B107" s="9" t="str">
        <x:v>40603</x:v>
      </x:c>
      <x:c r="C107" s="21" t="n">
        <x:v>1</x:v>
      </x:c>
      <x:c r="D107" s="12" t="n">
        <x:v>1</x:v>
      </x:c>
      <x:c r="E107" s="12" t="n">
        <x:f>IF(OR(C107="",D107=""),"",C107*D107)</x:f>
        <x:v>1</x:v>
      </x:c>
      <x:c r="F107" s="12"/>
      <x:c r="G107" s="12" t="str">
        <x:f>IF(OR(C107="",F107=""),"",C107*F107)</x:f>
      </x:c>
      <x:c r="H107" s="22"/>
      <x:c r="I107" s="22"/>
      <x:c r="J107" s="22"/>
      <x:c r="K107" s="43" t="str">
        <x:f>IF(OR(H107="",I107=""),"",H107*I107/10000)</x:f>
      </x:c>
      <x:c r="L107" s="9" t="str">
        <x:v>offen</x:v>
      </x:c>
      <x:c r="M107" s="9" t="str"/>
      <x:c r="N107" s="9" t="str">
        <x:v>Winter/Weihnachten</x:v>
      </x:c>
      <x:c r="O107" s="9" t="str">
        <x:v>Weihnachtsdorf</x:v>
      </x:c>
      <x:c r="P107" s="9" t="str">
        <x:v>Noch keine verlässlichen aufgebauten Gesamtmaße eingetragen</x:v>
      </x:c>
      <x:c r="Q107" s="9" t="str">
        <x:v>latest_2341.txt</x:v>
      </x:c>
    </x:row>
    <x:row r="108">
      <x:c r="A108" s="9" t="str">
        <x:v>Christbaumkugel-Set</x:v>
      </x:c>
      <x:c r="B108" s="9" t="str">
        <x:v>40604</x:v>
      </x:c>
      <x:c r="C108" s="21" t="n">
        <x:v>1</x:v>
      </x:c>
      <x:c r="D108" s="12" t="n">
        <x:v>1</x:v>
      </x:c>
      <x:c r="E108" s="12" t="n">
        <x:f>IF(OR(C108="",D108=""),"",C108*D108)</x:f>
        <x:v>1</x:v>
      </x:c>
      <x:c r="F108" s="12"/>
      <x:c r="G108" s="12" t="str">
        <x:f>IF(OR(C108="",F108=""),"",C108*F108)</x:f>
      </x:c>
      <x:c r="H108" s="22"/>
      <x:c r="I108" s="22"/>
      <x:c r="J108" s="22"/>
      <x:c r="K108" s="43" t="str">
        <x:f>IF(OR(H108="",I108=""),"",H108*I108/10000)</x:f>
      </x:c>
      <x:c r="L108" s="9" t="str">
        <x:v>offen</x:v>
      </x:c>
      <x:c r="M108" s="9" t="str"/>
      <x:c r="N108" s="9" t="str">
        <x:v>Winter/Weihnachten</x:v>
      </x:c>
      <x:c r="O108" s="9" t="str">
        <x:v>Weihnachtsdorf</x:v>
      </x:c>
      <x:c r="P108" s="9" t="str">
        <x:v>Noch keine verlässlichen aufgebauten Gesamtmaße eingetragen</x:v>
      </x:c>
      <x:c r="Q108" s="9" t="str">
        <x:v>latest_2341.txt</x:v>
      </x:c>
    </x:row>
    <x:row r="109">
      <x:c r="A109" s="9" t="str">
        <x:v>Mondneujahr — VIP-Erganzungsset</x:v>
      </x:c>
      <x:c r="B109" s="9" t="str">
        <x:v>40605</x:v>
      </x:c>
      <x:c r="C109" s="21" t="n">
        <x:v>1</x:v>
      </x:c>
      <x:c r="D109" s="12" t="n">
        <x:v>0</x:v>
      </x:c>
      <x:c r="E109" s="12" t="str">
        <x:f>IF(OR(C109="",D109=""),"",C109*D109)</x:f>
      </x:c>
      <x:c r="F109" s="12"/>
      <x:c r="G109" s="12" t="str">
        <x:f>IF(OR(C109="",F109=""),"",C109*F109)</x:f>
      </x:c>
      <x:c r="H109" s="22"/>
      <x:c r="I109" s="22"/>
      <x:c r="J109" s="22"/>
      <x:c r="K109" s="43" t="str">
        <x:f>IF(OR(H109="",I109=""),"",H109*I109/10000)</x:f>
      </x:c>
      <x:c r="L109" s="9" t="str">
        <x:v>offen</x:v>
      </x:c>
      <x:c r="M109" s="9" t="str"/>
      <x:c r="N109" s="9" t="str">
        <x:v>Kleinszene/Deko</x:v>
      </x:c>
      <x:c r="O109" s="9" t="str">
        <x:v>Deko / flexibel</x:v>
      </x:c>
      <x:c r="P109" s="9" t="str">
        <x:v>Noch keine verlässlichen aufgebauten Gesamtmaße eingetragen</x:v>
      </x:c>
      <x:c r="Q109" s="9" t="str">
        <x:v>latest_2360.txt</x:v>
      </x:c>
    </x:row>
    <x:row r="110">
      <x:c r="A110" s="9" t="str">
        <x:v>LEGO® Nussknacker</x:v>
      </x:c>
      <x:c r="B110" s="9" t="str">
        <x:v>40640</x:v>
      </x:c>
      <x:c r="C110" s="21" t="n">
        <x:v>1</x:v>
      </x:c>
      <x:c r="D110" s="12" t="n">
        <x:v>0</x:v>
      </x:c>
      <x:c r="E110" s="12" t="str">
        <x:f>IF(OR(C110="",D110=""),"",C110*D110)</x:f>
      </x:c>
      <x:c r="F110" s="12"/>
      <x:c r="G110" s="12" t="str">
        <x:f>IF(OR(C110="",F110=""),"",C110*F110)</x:f>
      </x:c>
      <x:c r="H110" s="22"/>
      <x:c r="I110" s="22"/>
      <x:c r="J110" s="22"/>
      <x:c r="K110" s="43" t="str">
        <x:f>IF(OR(H110="",I110=""),"",H110*I110/10000)</x:f>
      </x:c>
      <x:c r="L110" s="9" t="str">
        <x:v>offen</x:v>
      </x:c>
      <x:c r="M110" s="9" t="str"/>
      <x:c r="N110" s="9" t="str">
        <x:v>Winter/Weihnachten</x:v>
      </x:c>
      <x:c r="O110" s="9" t="str">
        <x:v>Weihnachtsdorf</x:v>
      </x:c>
      <x:c r="P110" s="9" t="str">
        <x:v>Noch keine verlässlichen aufgebauten Gesamtmaße eingetragen</x:v>
      </x:c>
      <x:c r="Q110" s="9" t="str">
        <x:v>latest_2327.txt</x:v>
      </x:c>
    </x:row>
    <x:row r="111">
      <x:c r="A111" s="9" t="str">
        <x:v>Love-Geschenkbox</x:v>
      </x:c>
      <x:c r="B111" s="9" t="str">
        <x:v>40679</x:v>
      </x:c>
      <x:c r="C111" s="21" t="n">
        <x:v>1</x:v>
      </x:c>
      <x:c r="D111" s="12" t="n">
        <x:v>0</x:v>
      </x:c>
      <x:c r="E111" s="12" t="str">
        <x:f>IF(OR(C111="",D111=""),"",C111*D111)</x:f>
      </x:c>
      <x:c r="F111" s="12"/>
      <x:c r="G111" s="12" t="str">
        <x:f>IF(OR(C111="",F111=""),"",C111*F111)</x:f>
      </x:c>
      <x:c r="H111" s="22"/>
      <x:c r="I111" s="22"/>
      <x:c r="J111" s="22"/>
      <x:c r="K111" s="43" t="str">
        <x:f>IF(OR(H111="",I111=""),"",H111*I111/10000)</x:f>
      </x:c>
      <x:c r="L111" s="9" t="str">
        <x:v>offen</x:v>
      </x:c>
      <x:c r="M111" s="9" t="str"/>
      <x:c r="N111" s="9" t="str">
        <x:v>Kleinszene/Deko</x:v>
      </x:c>
      <x:c r="O111" s="9" t="str">
        <x:v>Deko / flexibel</x:v>
      </x:c>
      <x:c r="P111" s="9" t="str">
        <x:v>Noch keine verlässlichen aufgebauten Gesamtmaße eingetragen</x:v>
      </x:c>
      <x:c r="Q111" s="9" t="str">
        <x:v>latest_2338.txt</x:v>
      </x:c>
    </x:row>
    <x:row r="112">
      <x:c r="A112" s="9" t="str">
        <x:v>Blumenladen</x:v>
      </x:c>
      <x:c r="B112" s="9" t="str">
        <x:v>40680</x:v>
      </x:c>
      <x:c r="C112" s="21" t="n">
        <x:v>1</x:v>
      </x:c>
      <x:c r="D112" s="12" t="n">
        <x:v>0</x:v>
      </x:c>
      <x:c r="E112" s="12" t="str">
        <x:f>IF(OR(C112="",D112=""),"",C112*D112)</x:f>
      </x:c>
      <x:c r="F112" s="12"/>
      <x:c r="G112" s="12" t="str">
        <x:f>IF(OR(C112="",F112=""),"",C112*F112)</x:f>
      </x:c>
      <x:c r="H112" s="22"/>
      <x:c r="I112" s="22"/>
      <x:c r="J112" s="22"/>
      <x:c r="K112" s="43" t="str">
        <x:f>IF(OR(H112="",I112=""),"",H112*I112/10000)</x:f>
      </x:c>
      <x:c r="L112" s="9" t="str">
        <x:v>offen</x:v>
      </x:c>
      <x:c r="M112" s="9" t="str"/>
      <x:c r="N112" s="9" t="str">
        <x:v>Kleinszene/Deko</x:v>
      </x:c>
      <x:c r="O112" s="9" t="str">
        <x:v>Deko / flexibel</x:v>
      </x:c>
      <x:c r="P112" s="9" t="str">
        <x:v>Noch keine verlässlichen aufgebauten Gesamtmaße eingetragen</x:v>
      </x:c>
      <x:c r="Q112" s="9" t="str">
        <x:v>latest_2321.txt</x:v>
      </x:c>
    </x:row>
    <x:row r="113">
      <x:c r="A113" s="9" t="str">
        <x:v>Feuerwerks-Set</x:v>
      </x:c>
      <x:c r="B113" s="9" t="str">
        <x:v>40689</x:v>
      </x:c>
      <x:c r="C113" s="21" t="n">
        <x:v>1</x:v>
      </x:c>
      <x:c r="D113" s="12"/>
      <x:c r="E113" s="12" t="str">
        <x:f>IF(OR(C113="",D113=""),"",C113*D113)</x:f>
      </x:c>
      <x:c r="F113" s="12"/>
      <x:c r="G113" s="12" t="str">
        <x:f>IF(OR(C113="",F113=""),"",C113*F113)</x:f>
      </x:c>
      <x:c r="H113" s="22"/>
      <x:c r="I113" s="22"/>
      <x:c r="J113" s="22"/>
      <x:c r="K113" s="43" t="str">
        <x:f>IF(OR(H113="",I113=""),"",H113*I113/10000)</x:f>
      </x:c>
      <x:c r="L113" s="9" t="str">
        <x:v>offen</x:v>
      </x:c>
      <x:c r="M113" s="9" t="str"/>
      <x:c r="N113" s="9" t="str">
        <x:v>Kleinszene/Deko</x:v>
      </x:c>
      <x:c r="O113" s="9" t="str">
        <x:v>Deko / flexibel</x:v>
      </x:c>
      <x:c r="P113" s="9" t="str">
        <x:v>Noch keine verlässlichen aufgebauten Gesamtmaße eingetragen</x:v>
      </x:c>
      <x:c r="Q113" s="9" t="str">
        <x:v>latest_2324.txt</x:v>
      </x:c>
    </x:row>
    <x:row r="114">
      <x:c r="A114" s="9" t="str">
        <x:v>Süßwarenladen</x:v>
      </x:c>
      <x:c r="B114" s="9" t="str">
        <x:v>40692</x:v>
      </x:c>
      <x:c r="C114" s="21" t="n">
        <x:v>1</x:v>
      </x:c>
      <x:c r="D114" s="12" t="n">
        <x:v>0</x:v>
      </x:c>
      <x:c r="E114" s="12" t="str">
        <x:f>IF(OR(C114="",D114=""),"",C114*D114)</x:f>
      </x:c>
      <x:c r="F114" s="12"/>
      <x:c r="G114" s="12" t="str">
        <x:f>IF(OR(C114="",F114=""),"",C114*F114)</x:f>
      </x:c>
      <x:c r="H114" s="22"/>
      <x:c r="I114" s="22"/>
      <x:c r="J114" s="22"/>
      <x:c r="K114" s="43" t="str">
        <x:f>IF(OR(H114="",I114=""),"",H114*I114/10000)</x:f>
      </x:c>
      <x:c r="L114" s="9" t="str">
        <x:v>offen</x:v>
      </x:c>
      <x:c r="M114" s="9" t="str"/>
      <x:c r="N114" s="9" t="str">
        <x:v>Winter/Weihnachten</x:v>
      </x:c>
      <x:c r="O114" s="9" t="str">
        <x:v>Weihnachtsdorf</x:v>
      </x:c>
      <x:c r="P114" s="9" t="str">
        <x:v>Noch keine verlässlichen aufgebauten Gesamtmaße eingetragen</x:v>
      </x:c>
      <x:c r="Q114" s="9" t="str">
        <x:v>manual</x:v>
      </x:c>
    </x:row>
    <x:row r="115">
      <x:c r="A115" s="9" t="str">
        <x:v>Bücher sind meine Leidenschaft</x:v>
      </x:c>
      <x:c r="B115" s="9" t="str">
        <x:v>40698</x:v>
      </x:c>
      <x:c r="C115" s="21" t="n">
        <x:v>1</x:v>
      </x:c>
      <x:c r="D115" s="12" t="n">
        <x:v>0</x:v>
      </x:c>
      <x:c r="E115" s="12" t="str">
        <x:f>IF(OR(C115="",D115=""),"",C115*D115)</x:f>
      </x:c>
      <x:c r="F115" s="12"/>
      <x:c r="G115" s="12" t="str">
        <x:f>IF(OR(C115="",F115=""),"",C115*F115)</x:f>
      </x:c>
      <x:c r="H115" s="22"/>
      <x:c r="I115" s="22"/>
      <x:c r="J115" s="22"/>
      <x:c r="K115" s="43" t="str">
        <x:f>IF(OR(H115="",I115=""),"",H115*I115/10000)</x:f>
      </x:c>
      <x:c r="L115" s="9" t="str">
        <x:v>offen</x:v>
      </x:c>
      <x:c r="M115" s="9" t="str"/>
      <x:c r="N115" s="9" t="str">
        <x:v>Kleinszene/Deko</x:v>
      </x:c>
      <x:c r="O115" s="9" t="str">
        <x:v>Deko / flexibel</x:v>
      </x:c>
      <x:c r="P115" s="9" t="str">
        <x:v>Noch keine verlässlichen aufgebauten Gesamtmaße eingetragen</x:v>
      </x:c>
      <x:c r="Q115" s="9" t="str">
        <x:v>latest_2329.txt</x:v>
      </x:c>
    </x:row>
    <x:row r="116">
      <x:c r="A116" s="9" t="str">
        <x:v>Retro-Plattenspieler</x:v>
      </x:c>
      <x:c r="B116" s="9" t="str">
        <x:v>40699</x:v>
      </x:c>
      <x:c r="C116" s="21" t="n">
        <x:v>1</x:v>
      </x:c>
      <x:c r="D116" s="12" t="n">
        <x:v>0</x:v>
      </x:c>
      <x:c r="E116" s="12" t="str">
        <x:f>IF(OR(C116="",D116=""),"",C116*D116)</x:f>
      </x:c>
      <x:c r="F116" s="12"/>
      <x:c r="G116" s="12" t="str">
        <x:f>IF(OR(C116="",F116=""),"",C116*F116)</x:f>
      </x:c>
      <x:c r="H116" s="22"/>
      <x:c r="I116" s="22"/>
      <x:c r="J116" s="22"/>
      <x:c r="K116" s="43" t="str">
        <x:f>IF(OR(H116="",I116=""),"",H116*I116/10000)</x:f>
      </x:c>
      <x:c r="L116" s="9" t="str">
        <x:v>offen</x:v>
      </x:c>
      <x:c r="M116" s="9" t="str"/>
      <x:c r="N116" s="9" t="str">
        <x:v>Kleinszene/Deko</x:v>
      </x:c>
      <x:c r="O116" s="9" t="str">
        <x:v>Deko / flexibel</x:v>
      </x:c>
      <x:c r="P116" s="9" t="str">
        <x:v>Noch keine verlässlichen aufgebauten Gesamtmaße eingetragen</x:v>
      </x:c>
      <x:c r="Q116" s="9" t="str">
        <x:v>latest_2326.txt</x:v>
      </x:c>
    </x:row>
    <x:row r="117">
      <x:c r="A117" s="9" t="str">
        <x:v>Winterlicher Weihnachtszug</x:v>
      </x:c>
      <x:c r="B117" s="9" t="str">
        <x:v>40700</x:v>
      </x:c>
      <x:c r="C117" s="21" t="n">
        <x:v>1</x:v>
      </x:c>
      <x:c r="D117" s="12" t="n">
        <x:v>0</x:v>
      </x:c>
      <x:c r="E117" s="12" t="str">
        <x:f>IF(OR(C117="",D117=""),"",C117*D117)</x:f>
      </x:c>
      <x:c r="F117" s="12"/>
      <x:c r="G117" s="12" t="str">
        <x:f>IF(OR(C117="",F117=""),"",C117*F117)</x:f>
      </x:c>
      <x:c r="H117" s="22"/>
      <x:c r="I117" s="22"/>
      <x:c r="J117" s="22"/>
      <x:c r="K117" s="43" t="str">
        <x:f>IF(OR(H117="",I117=""),"",H117*I117/10000)</x:f>
      </x:c>
      <x:c r="L117" s="9" t="str">
        <x:v>offen</x:v>
      </x:c>
      <x:c r="M117" s="9" t="str"/>
      <x:c r="N117" s="9" t="str">
        <x:v>Winter/Weihnachten</x:v>
      </x:c>
      <x:c r="O117" s="9" t="str">
        <x:v>Weihnachtsdorf</x:v>
      </x:c>
      <x:c r="P117" s="9" t="str">
        <x:v>Noch keine verlässlichen aufgebauten Gesamtmaße eingetragen</x:v>
      </x:c>
      <x:c r="Q117" s="9" t="str">
        <x:v>latest_2326.txt</x:v>
      </x:c>
    </x:row>
    <x:row r="118">
      <x:c r="A118" s="9" t="str">
        <x:v>Mikro-Startrampe</x:v>
      </x:c>
      <x:c r="B118" s="9" t="str">
        <x:v>40712</x:v>
      </x:c>
      <x:c r="C118" s="21" t="n">
        <x:v>1</x:v>
      </x:c>
      <x:c r="D118" s="12" t="n">
        <x:v>0</x:v>
      </x:c>
      <x:c r="E118" s="12" t="str">
        <x:f>IF(OR(C118="",D118=""),"",C118*D118)</x:f>
      </x:c>
      <x:c r="F118" s="12"/>
      <x:c r="G118" s="12" t="str">
        <x:f>IF(OR(C118="",F118=""),"",C118*F118)</x:f>
      </x:c>
      <x:c r="H118" s="22"/>
      <x:c r="I118" s="22"/>
      <x:c r="J118" s="22"/>
      <x:c r="K118" s="43" t="str">
        <x:f>IF(OR(H118="",I118=""),"",H118*I118/10000)</x:f>
      </x:c>
      <x:c r="L118" s="9" t="str">
        <x:v>offen</x:v>
      </x:c>
      <x:c r="M118" s="9" t="str"/>
      <x:c r="N118" s="9" t="str">
        <x:v>Raumfahrt/Technik</x:v>
      </x:c>
      <x:c r="O118" s="9" t="str">
        <x:v>Technik- &amp; Raumfahrtmuseum</x:v>
      </x:c>
      <x:c r="P118" s="9" t="str">
        <x:v>Noch keine verlässlichen aufgebauten Gesamtmaße eingetragen</x:v>
      </x:c>
      <x:c r="Q118" s="9" t="str">
        <x:v>latest_2320.txt</x:v>
      </x:c>
    </x:row>
    <x:row r="119">
      <x:c r="A119" s="9" t="str">
        <x:v>Lieferwagen des Weihnachtsmanns</x:v>
      </x:c>
      <x:c r="B119" s="9" t="str">
        <x:v>40746</x:v>
      </x:c>
      <x:c r="C119" s="21" t="n">
        <x:v>1</x:v>
      </x:c>
      <x:c r="D119" s="12" t="n">
        <x:v>0</x:v>
      </x:c>
      <x:c r="E119" s="12" t="str">
        <x:f>IF(OR(C119="",D119=""),"",C119*D119)</x:f>
      </x:c>
      <x:c r="F119" s="12"/>
      <x:c r="G119" s="12" t="str">
        <x:f>IF(OR(C119="",F119=""),"",C119*F119)</x:f>
      </x:c>
      <x:c r="H119" s="22"/>
      <x:c r="I119" s="22"/>
      <x:c r="J119" s="22"/>
      <x:c r="K119" s="43" t="str">
        <x:f>IF(OR(H119="",I119=""),"",H119*I119/10000)</x:f>
      </x:c>
      <x:c r="L119" s="9" t="str">
        <x:v>offen</x:v>
      </x:c>
      <x:c r="M119" s="9" t="str"/>
      <x:c r="N119" s="9" t="str">
        <x:v>Winter/Weihnachten</x:v>
      </x:c>
      <x:c r="O119" s="9" t="str">
        <x:v>Weihnachtsdorf</x:v>
      </x:c>
      <x:c r="P119" s="9" t="str">
        <x:v>Noch keine verlässlichen aufgebauten Gesamtmaße eingetragen</x:v>
      </x:c>
      <x:c r="Q119" s="9" t="str">
        <x:v>latest_2319.txt</x:v>
      </x:c>
    </x:row>
    <x:row r="120">
      <x:c r="A120" s="9" t="str">
        <x:v>Children's Day Teddy Bear</x:v>
      </x:c>
      <x:c r="B120" s="9" t="str">
        <x:v>40763</x:v>
      </x:c>
      <x:c r="C120" s="21" t="n">
        <x:v>1</x:v>
      </x:c>
      <x:c r="D120" s="12" t="n">
        <x:v>0</x:v>
      </x:c>
      <x:c r="E120" s="12" t="str">
        <x:f>IF(OR(C120="",D120=""),"",C120*D120)</x:f>
      </x:c>
      <x:c r="F120" s="12"/>
      <x:c r="G120" s="12" t="str">
        <x:f>IF(OR(C120="",F120=""),"",C120*F120)</x:f>
      </x:c>
      <x:c r="H120" s="22"/>
      <x:c r="I120" s="22"/>
      <x:c r="J120" s="22"/>
      <x:c r="K120" s="43" t="str">
        <x:f>IF(OR(H120="",I120=""),"",H120*I120/10000)</x:f>
      </x:c>
      <x:c r="L120" s="9" t="str">
        <x:v>offen</x:v>
      </x:c>
      <x:c r="M120" s="9" t="str"/>
      <x:c r="N120" s="9" t="str">
        <x:v>Kleinszene/Deko</x:v>
      </x:c>
      <x:c r="O120" s="9" t="str">
        <x:v>Deko / flexibel</x:v>
      </x:c>
      <x:c r="P120" s="9" t="str">
        <x:v>Noch keine verlässlichen aufgebauten Gesamtmaße eingetragen</x:v>
      </x:c>
      <x:c r="Q120" s="9" t="str">
        <x:v>latest_2316.txt</x:v>
      </x:c>
    </x:row>
    <x:row r="121">
      <x:c r="A121" s="9" t="str">
        <x:v>Hommage an die Bucher von Jane A...</x:v>
      </x:c>
      <x:c r="B121" s="9" t="str">
        <x:v>40766</x:v>
      </x:c>
      <x:c r="C121" s="21" t="n">
        <x:v>1</x:v>
      </x:c>
      <x:c r="D121" s="12" t="n">
        <x:v>0</x:v>
      </x:c>
      <x:c r="E121" s="12" t="str">
        <x:f>IF(OR(C121="",D121=""),"",C121*D121)</x:f>
      </x:c>
      <x:c r="F121" s="12"/>
      <x:c r="G121" s="12" t="str">
        <x:f>IF(OR(C121="",F121=""),"",C121*F121)</x:f>
      </x:c>
      <x:c r="H121" s="22"/>
      <x:c r="I121" s="22"/>
      <x:c r="J121" s="22"/>
      <x:c r="K121" s="43" t="str">
        <x:f>IF(OR(H121="",I121=""),"",H121*I121/10000)</x:f>
      </x:c>
      <x:c r="L121" s="9" t="str">
        <x:v>offen</x:v>
      </x:c>
      <x:c r="M121" s="9" t="str"/>
      <x:c r="N121" s="9" t="str">
        <x:v>Kleinszene/Deko</x:v>
      </x:c>
      <x:c r="O121" s="9" t="str">
        <x:v>Deko / flexibel</x:v>
      </x:c>
      <x:c r="P121" s="9" t="str">
        <x:v>Noch keine verlässlichen aufgebauten Gesamtmaße eingetragen</x:v>
      </x:c>
      <x:c r="Q121" s="9" t="str">
        <x:v>latest_2321.txt</x:v>
      </x:c>
    </x:row>
    <x:row r="122">
      <x:c r="A122" s="9" t="str">
        <x:v>Großer Baby-Astronaut</x:v>
      </x:c>
      <x:c r="B122" s="9" t="str">
        <x:v>40767</x:v>
      </x:c>
      <x:c r="C122" s="21" t="n">
        <x:v>1</x:v>
      </x:c>
      <x:c r="D122" s="12"/>
      <x:c r="E122" s="12" t="str">
        <x:f>IF(OR(C122="",D122=""),"",C122*D122)</x:f>
      </x:c>
      <x:c r="F122" s="12"/>
      <x:c r="G122" s="12" t="str">
        <x:f>IF(OR(C122="",F122=""),"",C122*F122)</x:f>
      </x:c>
      <x:c r="H122" s="22"/>
      <x:c r="I122" s="22"/>
      <x:c r="J122" s="22"/>
      <x:c r="K122" s="43" t="str">
        <x:f>IF(OR(H122="",I122=""),"",H122*I122/10000)</x:f>
      </x:c>
      <x:c r="L122" s="9" t="str">
        <x:v>offen</x:v>
      </x:c>
      <x:c r="M122" s="9" t="str"/>
      <x:c r="N122" s="9" t="str">
        <x:v>Raumfahrt/Technik</x:v>
      </x:c>
      <x:c r="O122" s="9" t="str">
        <x:v>Technik- &amp; Raumfahrtmuseum</x:v>
      </x:c>
      <x:c r="P122" s="9" t="str">
        <x:v>Noch keine verlässlichen aufgebauten Gesamtmaße eingetragen</x:v>
      </x:c>
      <x:c r="Q122" s="9" t="str">
        <x:v>latest_2319.txt</x:v>
      </x:c>
    </x:row>
    <x:row r="123">
      <x:c r="A123" s="9" t="str">
        <x:v>Regenwald-Diorama</x:v>
      </x:c>
      <x:c r="B123" s="9" t="str">
        <x:v>40782</x:v>
      </x:c>
      <x:c r="C123" s="21" t="n">
        <x:v>1</x:v>
      </x:c>
      <x:c r="D123" s="12" t="n">
        <x:v>0</x:v>
      </x:c>
      <x:c r="E123" s="12" t="str">
        <x:f>IF(OR(C123="",D123=""),"",C123*D123)</x:f>
      </x:c>
      <x:c r="F123" s="12"/>
      <x:c r="G123" s="12" t="str">
        <x:f>IF(OR(C123="",F123=""),"",C123*F123)</x:f>
      </x:c>
      <x:c r="H123" s="22"/>
      <x:c r="I123" s="22"/>
      <x:c r="J123" s="22"/>
      <x:c r="K123" s="43" t="str">
        <x:f>IF(OR(H123="",I123=""),"",H123*I123/10000)</x:f>
      </x:c>
      <x:c r="L123" s="9" t="str">
        <x:v>offen</x:v>
      </x:c>
      <x:c r="M123" s="9" t="str"/>
      <x:c r="N123" s="9" t="str">
        <x:v>Natur/Botanik</x:v>
      </x:c>
      <x:c r="O123" s="9" t="str">
        <x:v>Park &amp; Botanischer Bereich</x:v>
      </x:c>
      <x:c r="P123" s="9" t="str">
        <x:v>Noch keine verlässlichen aufgebauten Gesamtmaße eingetragen</x:v>
      </x:c>
      <x:c r="Q123" s="9" t="str">
        <x:v>latest_2324.txt</x:v>
      </x:c>
    </x:row>
    <x:row r="124">
      <x:c r="A124" s="9" t="str">
        <x:v>FIFA World Cup Official Trophy</x:v>
      </x:c>
      <x:c r="B124" s="9" t="str">
        <x:v>43020</x:v>
      </x:c>
      <x:c r="C124" s="21" t="n">
        <x:v>1</x:v>
      </x:c>
      <x:c r="D124" s="12" t="n">
        <x:v>80</x:v>
      </x:c>
      <x:c r="E124" s="12" t="n">
        <x:f>IF(OR(C124="",D124=""),"",C124*D124)</x:f>
        <x:v>80</x:v>
      </x:c>
      <x:c r="F124" s="12"/>
      <x:c r="G124" s="12" t="str">
        <x:f>IF(OR(C124="",F124=""),"",C124*F124)</x:f>
      </x:c>
      <x:c r="H124" s="22"/>
      <x:c r="I124" s="22"/>
      <x:c r="J124" s="22"/>
      <x:c r="K124" s="43" t="str">
        <x:f>IF(OR(H124="",I124=""),"",H124*I124/10000)</x:f>
      </x:c>
      <x:c r="L124" s="9" t="str">
        <x:v>offen</x:v>
      </x:c>
      <x:c r="M124" s="9" t="str"/>
      <x:c r="N124" s="9" t="str">
        <x:v>Disney</x:v>
      </x:c>
      <x:c r="O124" s="9" t="str">
        <x:v>Disney-/Freizeitpark-Viertel</x:v>
      </x:c>
      <x:c r="P124" s="9" t="str">
        <x:v>Noch keine verlässlichen aufgebauten Gesamtmaße eingetragen</x:v>
      </x:c>
      <x:c r="Q124" s="9" t="str">
        <x:v>latest_2315.txt</x:v>
      </x:c>
    </x:row>
    <x:row r="125">
      <x:c r="A125" s="9" t="str">
        <x:v>Micky Maus und Minnie Maus</x:v>
      </x:c>
      <x:c r="B125" s="9" t="str">
        <x:v>43179</x:v>
      </x:c>
      <x:c r="C125" s="21" t="n">
        <x:v>1</x:v>
      </x:c>
      <x:c r="D125" s="12" t="n">
        <x:v>149</x:v>
      </x:c>
      <x:c r="E125" s="12" t="n">
        <x:f>IF(OR(C125="",D125=""),"",C125*D125)</x:f>
        <x:v>149</x:v>
      </x:c>
      <x:c r="F125" s="12"/>
      <x:c r="G125" s="12" t="str">
        <x:f>IF(OR(C125="",F125=""),"",C125*F125)</x:f>
      </x:c>
      <x:c r="H125" s="22"/>
      <x:c r="I125" s="22"/>
      <x:c r="J125" s="22"/>
      <x:c r="K125" s="43" t="str">
        <x:f>IF(OR(H125="",I125=""),"",H125*I125/10000)</x:f>
      </x:c>
      <x:c r="L125" s="9" t="str">
        <x:v>offen</x:v>
      </x:c>
      <x:c r="M125" s="9" t="str"/>
      <x:c r="N125" s="9" t="str">
        <x:v>Disney</x:v>
      </x:c>
      <x:c r="O125" s="9" t="str">
        <x:v>Disney-/Freizeitpark-Viertel</x:v>
      </x:c>
      <x:c r="P125" s="9" t="str">
        <x:v>Noch keine verlässlichen aufgebauten Gesamtmaße eingetragen</x:v>
      </x:c>
      <x:c r="Q125" s="9" t="str">
        <x:v>latest_2356.txt</x:v>
      </x:c>
    </x:row>
    <x:row r="126">
      <x:c r="A126" s="9" t="str">
        <x:v>Disney Geburtstagszug</x:v>
      </x:c>
      <x:c r="B126" s="9" t="str">
        <x:v>43212</x:v>
      </x:c>
      <x:c r="C126" s="21" t="n">
        <x:v>1</x:v>
      </x:c>
      <x:c r="D126" s="12" t="n">
        <x:v>0</x:v>
      </x:c>
      <x:c r="E126" s="12" t="str">
        <x:f>IF(OR(C126="",D126=""),"",C126*D126)</x:f>
      </x:c>
      <x:c r="F126" s="12"/>
      <x:c r="G126" s="12" t="str">
        <x:f>IF(OR(C126="",F126=""),"",C126*F126)</x:f>
      </x:c>
      <x:c r="H126" s="22"/>
      <x:c r="I126" s="22"/>
      <x:c r="J126" s="22"/>
      <x:c r="K126" s="43" t="str">
        <x:f>IF(OR(H126="",I126=""),"",H126*I126/10000)</x:f>
      </x:c>
      <x:c r="L126" s="9" t="str">
        <x:v>offen</x:v>
      </x:c>
      <x:c r="M126" s="9" t="str"/>
      <x:c r="N126" s="9" t="str">
        <x:v>Disney</x:v>
      </x:c>
      <x:c r="O126" s="9" t="str">
        <x:v>Disney-/Freizeitpark-Viertel</x:v>
      </x:c>
      <x:c r="P126" s="9" t="str">
        <x:v>Noch keine verlässlichen aufgebauten Gesamtmaße eingetragen</x:v>
      </x:c>
      <x:c r="Q126" s="9" t="str">
        <x:v>latest_2318.txt</x:v>
      </x:c>
    </x:row>
    <x:row r="127">
      <x:c r="A127" s="9" t="str">
        <x:v>Kamera — Hommage an Walt Disney</x:v>
      </x:c>
      <x:c r="B127" s="9" t="str">
        <x:v>43230</x:v>
      </x:c>
      <x:c r="C127" s="21" t="n">
        <x:v>1</x:v>
      </x:c>
      <x:c r="D127" s="12" t="n">
        <x:v>62.99</x:v>
      </x:c>
      <x:c r="E127" s="12" t="n">
        <x:f>IF(OR(C127="",D127=""),"",C127*D127)</x:f>
        <x:v>62.99</x:v>
      </x:c>
      <x:c r="F127" s="12"/>
      <x:c r="G127" s="12" t="str">
        <x:f>IF(OR(C127="",F127=""),"",C127*F127)</x:f>
      </x:c>
      <x:c r="H127" s="22"/>
      <x:c r="I127" s="22"/>
      <x:c r="J127" s="22"/>
      <x:c r="K127" s="43" t="str">
        <x:f>IF(OR(H127="",I127=""),"",H127*I127/10000)</x:f>
      </x:c>
      <x:c r="L127" s="9" t="str">
        <x:v>offen</x:v>
      </x:c>
      <x:c r="M127" s="9" t="str"/>
      <x:c r="N127" s="9" t="str">
        <x:v>Disney</x:v>
      </x:c>
      <x:c r="O127" s="9" t="str">
        <x:v>Disney-/Freizeitpark-Viertel</x:v>
      </x:c>
      <x:c r="P127" s="9" t="str">
        <x:v>Noch keine verlässlichen aufgebauten Gesamtmaße eingetragen</x:v>
      </x:c>
      <x:c r="Q127" s="9" t="str">
        <x:v>latest_2344.txt</x:v>
      </x:c>
    </x:row>
    <x:row r="128">
      <x:c r="A128" s="9" t="str">
        <x:v>Die Hutte von Schneewittchen und d...</x:v>
      </x:c>
      <x:c r="B128" s="9" t="str">
        <x:v>43242</x:v>
      </x:c>
      <x:c r="C128" s="21" t="n">
        <x:v>1</x:v>
      </x:c>
      <x:c r="D128" s="12" t="n">
        <x:v>185</x:v>
      </x:c>
      <x:c r="E128" s="12" t="n">
        <x:f>IF(OR(C128="",D128=""),"",C128*D128)</x:f>
        <x:v>185</x:v>
      </x:c>
      <x:c r="F128" s="12"/>
      <x:c r="G128" s="12" t="str">
        <x:f>IF(OR(C128="",F128=""),"",C128*F128)</x:f>
      </x:c>
      <x:c r="H128" s="22"/>
      <x:c r="I128" s="22"/>
      <x:c r="J128" s="22"/>
      <x:c r="K128" s="43" t="str">
        <x:f>IF(OR(H128="",I128=""),"",H128*I128/10000)</x:f>
      </x:c>
      <x:c r="L128" s="9" t="str">
        <x:v>offen</x:v>
      </x:c>
      <x:c r="M128" s="9" t="str"/>
      <x:c r="N128" s="9" t="str">
        <x:v>Disney</x:v>
      </x:c>
      <x:c r="O128" s="9" t="str">
        <x:v>Disney-/Freizeitpark-Viertel</x:v>
      </x:c>
      <x:c r="P128" s="9" t="str">
        <x:v>Noch keine verlässlichen aufgebauten Gesamtmaße eingetragen</x:v>
      </x:c>
      <x:c r="Q128" s="9" t="str">
        <x:v>latest_2317.txt</x:v>
      </x:c>
    </x:row>
    <x:row r="129">
      <x:c r="A129" s="9" t="str">
        <x:v>Simba, der junge König der Löwen</x:v>
      </x:c>
      <x:c r="B129" s="9" t="str">
        <x:v>43247</x:v>
      </x:c>
      <x:c r="C129" s="21" t="n">
        <x:v>1</x:v>
      </x:c>
      <x:c r="D129" s="12" t="n">
        <x:v>82</x:v>
      </x:c>
      <x:c r="E129" s="12" t="n">
        <x:f>IF(OR(C129="",D129=""),"",C129*D129)</x:f>
        <x:v>82</x:v>
      </x:c>
      <x:c r="F129" s="12"/>
      <x:c r="G129" s="12" t="str">
        <x:f>IF(OR(C129="",F129=""),"",C129*F129)</x:f>
      </x:c>
      <x:c r="H129" s="22"/>
      <x:c r="I129" s="22"/>
      <x:c r="J129" s="22"/>
      <x:c r="K129" s="43" t="str">
        <x:f>IF(OR(H129="",I129=""),"",H129*I129/10000)</x:f>
      </x:c>
      <x:c r="L129" s="9" t="str">
        <x:v>offen</x:v>
      </x:c>
      <x:c r="M129" s="9" t="str"/>
      <x:c r="N129" s="9" t="str">
        <x:v>Disney</x:v>
      </x:c>
      <x:c r="O129" s="9" t="str">
        <x:v>Disney-/Freizeitpark-Viertel</x:v>
      </x:c>
      <x:c r="P129" s="9" t="str">
        <x:v>Noch keine verlässlichen aufgebauten Gesamtmaße eingetragen</x:v>
      </x:c>
      <x:c r="Q129" s="9" t="str">
        <x:v>latest_2332.txt</x:v>
      </x:c>
    </x:row>
    <x:row r="130">
      <x:c r="A130" s="9" t="str">
        <x:v>Welpe aus 101 Dalmatiner</x:v>
      </x:c>
      <x:c r="B130" s="9" t="str">
        <x:v>43269</x:v>
      </x:c>
      <x:c r="C130" s="21" t="n">
        <x:v>1</x:v>
      </x:c>
      <x:c r="D130" s="12" t="n">
        <x:v>88</x:v>
      </x:c>
      <x:c r="E130" s="12" t="n">
        <x:f>IF(OR(C130="",D130=""),"",C130*D130)</x:f>
        <x:v>88</x:v>
      </x:c>
      <x:c r="F130" s="12"/>
      <x:c r="G130" s="12" t="str">
        <x:f>IF(OR(C130="",F130=""),"",C130*F130)</x:f>
      </x:c>
      <x:c r="H130" s="22"/>
      <x:c r="I130" s="22"/>
      <x:c r="J130" s="22"/>
      <x:c r="K130" s="43" t="str">
        <x:f>IF(OR(H130="",I130=""),"",H130*I130/10000)</x:f>
      </x:c>
      <x:c r="L130" s="9" t="str">
        <x:v>offen</x:v>
      </x:c>
      <x:c r="M130" s="9" t="str"/>
      <x:c r="N130" s="9" t="str">
        <x:v>Disney</x:v>
      </x:c>
      <x:c r="O130" s="9" t="str">
        <x:v>Disney-/Freizeitpark-Viertel</x:v>
      </x:c>
      <x:c r="P130" s="9" t="str">
        <x:v>Noch keine verlässlichen aufgebauten Gesamtmaße eingetragen</x:v>
      </x:c>
      <x:c r="Q130" s="9" t="str">
        <x:v>latest_2321.txt</x:v>
      </x:c>
    </x:row>
    <x:row r="131">
      <x:c r="A131" s="9" t="str">
        <x:v>Main Street, U.S.A.</x:v>
      </x:c>
      <x:c r="B131" s="9" t="str">
        <x:v>43302</x:v>
      </x:c>
      <x:c r="C131" s="21" t="n">
        <x:v>1</x:v>
      </x:c>
      <x:c r="D131" s="12" t="n">
        <x:v>349</x:v>
      </x:c>
      <x:c r="E131" s="12" t="n">
        <x:f>IF(OR(C131="",D131=""),"",C131*D131)</x:f>
        <x:v>349</x:v>
      </x:c>
      <x:c r="F131" s="12"/>
      <x:c r="G131" s="12" t="str">
        <x:f>IF(OR(C131="",F131=""),"",C131*F131)</x:f>
      </x:c>
      <x:c r="H131" s="22" t="n">
        <x:v>78</x:v>
      </x:c>
      <x:c r="I131" s="22" t="n">
        <x:v>16</x:v>
      </x:c>
      <x:c r="J131" s="22" t="n">
        <x:v>28</x:v>
      </x:c>
      <x:c r="K131" s="43" t="n">
        <x:f>IF(OR(H131="",I131=""),"",H131*I131/10000)</x:f>
        <x:v>0.1248</x:v>
      </x:c>
      <x:c r="L131" s="9" t="str">
        <x:v>offiziell</x:v>
      </x:c>
      <x:c r="M131" s="9" t="str">
        <x:v>https://www.lego.com/de-de/product/main-street-usa-43302</x:v>
      </x:c>
      <x:c r="N131" s="9" t="str">
        <x:v>Disney</x:v>
      </x:c>
      <x:c r="O131" s="9" t="str">
        <x:v>Disney-/Freizeitpark-Viertel</x:v>
      </x:c>
      <x:c r="P131" s="9" t="str">
        <x:v>Gebäude in einer Reihe</x:v>
      </x:c>
      <x:c r="Q131" s="9" t="str">
        <x:v>latest_2315.txt</x:v>
      </x:c>
    </x:row>
    <x:row r="132">
      <x:c r="A132" s="9" t="str">
        <x:v>Hochgeschwindigkeitszug</x:v>
      </x:c>
      <x:c r="B132" s="9" t="str">
        <x:v>60051</x:v>
      </x:c>
      <x:c r="C132" s="21" t="n">
        <x:v>1</x:v>
      </x:c>
      <x:c r="D132" s="12" t="n">
        <x:v>79</x:v>
      </x:c>
      <x:c r="E132" s="12" t="n">
        <x:f>IF(OR(C132="",D132=""),"",C132*D132)</x:f>
        <x:v>79</x:v>
      </x:c>
      <x:c r="F132" s="12"/>
      <x:c r="G132" s="12" t="str">
        <x:f>IF(OR(C132="",F132=""),"",C132*F132)</x:f>
      </x:c>
      <x:c r="H132" s="22"/>
      <x:c r="I132" s="22"/>
      <x:c r="J132" s="22"/>
      <x:c r="K132" s="43" t="str">
        <x:f>IF(OR(H132="",I132=""),"",H132*I132/10000)</x:f>
      </x:c>
      <x:c r="L132" s="9" t="str">
        <x:v>offen</x:v>
      </x:c>
      <x:c r="M132" s="9" t="str"/>
      <x:c r="N132" s="9" t="str">
        <x:v>Bahn</x:v>
      </x:c>
      <x:c r="O132" s="9" t="str">
        <x:v>Bahn &amp; Bahnhof</x:v>
      </x:c>
      <x:c r="P132" s="9" t="str">
        <x:v>Noch keine verlässlichen aufgebauten Gesamtmaße eingetragen</x:v>
      </x:c>
      <x:c r="Q132" s="9" t="str">
        <x:v>latest_2347.txt</x:v>
      </x:c>
    </x:row>
    <x:row r="133">
      <x:c r="A133" s="9" t="str">
        <x:v>Schienen</x:v>
      </x:c>
      <x:c r="B133" s="9" t="str">
        <x:v>60205</x:v>
      </x:c>
      <x:c r="C133" s="21" t="n">
        <x:v>1</x:v>
      </x:c>
      <x:c r="D133" s="12" t="n">
        <x:v>14</x:v>
      </x:c>
      <x:c r="E133" s="12" t="n">
        <x:f>IF(OR(C133="",D133=""),"",C133*D133)</x:f>
        <x:v>14</x:v>
      </x:c>
      <x:c r="F133" s="12"/>
      <x:c r="G133" s="12" t="str">
        <x:f>IF(OR(C133="",F133=""),"",C133*F133)</x:f>
      </x:c>
      <x:c r="H133" s="22"/>
      <x:c r="I133" s="22"/>
      <x:c r="J133" s="22"/>
      <x:c r="K133" s="43" t="str">
        <x:f>IF(OR(H133="",I133=""),"",H133*I133/10000)</x:f>
      </x:c>
      <x:c r="L133" s="9" t="str">
        <x:v>offen</x:v>
      </x:c>
      <x:c r="M133" s="9" t="str"/>
      <x:c r="N133" s="9" t="str">
        <x:v>Bahn</x:v>
      </x:c>
      <x:c r="O133" s="9" t="str">
        <x:v>Bahn &amp; Bahnhof</x:v>
      </x:c>
      <x:c r="P133" s="9" t="str">
        <x:v>Noch keine verlässlichen aufgebauten Gesamtmaße eingetragen</x:v>
      </x:c>
      <x:c r="Q133" s="9" t="str">
        <x:v>latest_2350.txt</x:v>
      </x:c>
    </x:row>
    <x:row r="134">
      <x:c r="A134" s="9" t="str">
        <x:v>Weichen</x:v>
      </x:c>
      <x:c r="B134" s="9" t="str">
        <x:v>60238</x:v>
      </x:c>
      <x:c r="C134" s="21" t="n">
        <x:v>1</x:v>
      </x:c>
      <x:c r="D134" s="12" t="n">
        <x:v>14</x:v>
      </x:c>
      <x:c r="E134" s="12" t="n">
        <x:f>IF(OR(C134="",D134=""),"",C134*D134)</x:f>
        <x:v>14</x:v>
      </x:c>
      <x:c r="F134" s="12"/>
      <x:c r="G134" s="12" t="str">
        <x:f>IF(OR(C134="",F134=""),"",C134*F134)</x:f>
      </x:c>
      <x:c r="H134" s="22"/>
      <x:c r="I134" s="22"/>
      <x:c r="J134" s="22"/>
      <x:c r="K134" s="43" t="str">
        <x:f>IF(OR(H134="",I134=""),"",H134*I134/10000)</x:f>
      </x:c>
      <x:c r="L134" s="9" t="str">
        <x:v>offen</x:v>
      </x:c>
      <x:c r="M134" s="9" t="str"/>
      <x:c r="N134" s="9" t="str">
        <x:v>Bahn</x:v>
      </x:c>
      <x:c r="O134" s="9" t="str">
        <x:v>Bahn &amp; Bahnhof</x:v>
      </x:c>
      <x:c r="P134" s="9" t="str">
        <x:v>Noch keine verlässlichen aufgebauten Gesamtmaße eingetragen</x:v>
      </x:c>
      <x:c r="Q134" s="9" t="str">
        <x:v>latest_2350.txt</x:v>
      </x:c>
    </x:row>
    <x:row r="135">
      <x:c r="A135" s="9" t="str">
        <x:v>Straßenkreuzung mit Ampeln</x:v>
      </x:c>
      <x:c r="B135" s="9" t="str">
        <x:v>60304</x:v>
      </x:c>
      <x:c r="C135" s="21" t="n">
        <x:v>10</x:v>
      </x:c>
      <x:c r="D135" s="12" t="n">
        <x:v>130</x:v>
      </x:c>
      <x:c r="E135" s="12" t="n">
        <x:f>IF(OR(C135="",D135=""),"",C135*D135)</x:f>
        <x:v>1300</x:v>
      </x:c>
      <x:c r="F135" s="12"/>
      <x:c r="G135" s="12" t="str">
        <x:f>IF(OR(C135="",F135=""),"",C135*F135)</x:f>
      </x:c>
      <x:c r="H135" s="22"/>
      <x:c r="I135" s="22"/>
      <x:c r="J135" s="22"/>
      <x:c r="K135" s="43" t="str">
        <x:f>IF(OR(H135="",I135=""),"",H135*I135/10000)</x:f>
      </x:c>
      <x:c r="L135" s="9" t="str">
        <x:v>offen</x:v>
      </x:c>
      <x:c r="M135" s="9" t="str"/>
      <x:c r="N135" s="9" t="str">
        <x:v>Infrastruktur</x:v>
      </x:c>
      <x:c r="O135" s="9" t="str">
        <x:v>Infrastruktur / flexibel</x:v>
      </x:c>
      <x:c r="P135" s="9" t="str">
        <x:v>Noch keine verlässlichen aufgebauten Gesamtmaße eingetragen</x:v>
      </x:c>
      <x:c r="Q135" s="9" t="str">
        <x:v>latest_2331.txt</x:v>
      </x:c>
    </x:row>
    <x:row r="136">
      <x:c r="A136" s="9" t="str">
        <x:v>LEGO® City Adventskalender 2023</x:v>
      </x:c>
      <x:c r="B136" s="9" t="str">
        <x:v>60381</x:v>
      </x:c>
      <x:c r="C136" s="21" t="n">
        <x:v>1</x:v>
      </x:c>
      <x:c r="D136" s="12" t="n">
        <x:v>19.95</x:v>
      </x:c>
      <x:c r="E136" s="12" t="n">
        <x:f>IF(OR(C136="",D136=""),"",C136*D136)</x:f>
        <x:v>19.95</x:v>
      </x:c>
      <x:c r="F136" s="12"/>
      <x:c r="G136" s="12" t="str">
        <x:f>IF(OR(C136="",F136=""),"",C136*F136)</x:f>
      </x:c>
      <x:c r="H136" s="22"/>
      <x:c r="I136" s="22"/>
      <x:c r="J136" s="22"/>
      <x:c r="K136" s="43" t="str">
        <x:f>IF(OR(H136="",I136=""),"",H136*I136/10000)</x:f>
      </x:c>
      <x:c r="L136" s="9" t="str">
        <x:v>offen</x:v>
      </x:c>
      <x:c r="M136" s="9" t="str"/>
      <x:c r="N136" s="9" t="str">
        <x:v>Sonstiges</x:v>
      </x:c>
      <x:c r="O136" s="9" t="str">
        <x:v>Flexibel</x:v>
      </x:c>
      <x:c r="P136" s="9" t="str">
        <x:v>Noch keine verlässlichen aufgebauten Gesamtmaße eingetragen</x:v>
      </x:c>
      <x:c r="Q136" s="9" t="str">
        <x:v>latest_2347.txt</x:v>
      </x:c>
    </x:row>
    <x:row r="137">
      <x:c r="A137" s="9" t="str">
        <x:v>Das Simpsons™ Haus</x:v>
      </x:c>
      <x:c r="B137" s="9" t="str">
        <x:v>71006</x:v>
      </x:c>
      <x:c r="C137" s="21" t="n">
        <x:v>1</x:v>
      </x:c>
      <x:c r="D137" s="12" t="n">
        <x:v>239.9</x:v>
      </x:c>
      <x:c r="E137" s="12" t="n">
        <x:f>IF(OR(C137="",D137=""),"",C137*D137)</x:f>
        <x:v>239.9</x:v>
      </x:c>
      <x:c r="F137" s="12"/>
      <x:c r="G137" s="12" t="str">
        <x:f>IF(OR(C137="",F137=""),"",C137*F137)</x:f>
      </x:c>
      <x:c r="H137" s="22" t="n">
        <x:v>42</x:v>
      </x:c>
      <x:c r="I137" s="22" t="n">
        <x:v>24</x:v>
      </x:c>
      <x:c r="J137" s="22" t="n">
        <x:v>23</x:v>
      </x:c>
      <x:c r="K137" s="43" t="n">
        <x:f>IF(OR(H137="",I137=""),"",H137*I137/10000)</x:f>
        <x:v>0.1008</x:v>
      </x:c>
      <x:c r="L137" s="9" t="str">
        <x:v>offiziell</x:v>
      </x:c>
      <x:c r="M137" s="9" t="str">
        <x:v>https://www.lego.com/en-dk/product/the-simpsons-house-71006</x:v>
      </x:c>
      <x:c r="N137" s="9" t="str">
        <x:v>The Simpsons</x:v>
      </x:c>
      <x:c r="O137" s="9" t="str">
        <x:v>Springfield-Viertel</x:v>
      </x:c>
      <x:c r="P137" s="9" t="str">
        <x:v>Haus geschlossen</x:v>
      </x:c>
      <x:c r="Q137" s="9" t="str">
        <x:v>latest_2355.txt</x:v>
      </x:c>
    </x:row>
    <x:row r="138">
      <x:c r="A138" s="9" t="str">
        <x:v>Kwik-E-Mart</x:v>
      </x:c>
      <x:c r="B138" s="9" t="str">
        <x:v>71016</x:v>
      </x:c>
      <x:c r="C138" s="21" t="n">
        <x:v>1</x:v>
      </x:c>
      <x:c r="D138" s="12" t="n">
        <x:v>405</x:v>
      </x:c>
      <x:c r="E138" s="12" t="n">
        <x:f>IF(OR(C138="",D138=""),"",C138*D138)</x:f>
        <x:v>405</x:v>
      </x:c>
      <x:c r="F138" s="12"/>
      <x:c r="G138" s="12" t="str">
        <x:f>IF(OR(C138="",F138=""),"",C138*F138)</x:f>
      </x:c>
      <x:c r="H138" s="22" t="n">
        <x:v>38</x:v>
      </x:c>
      <x:c r="I138" s="22" t="n">
        <x:v>27</x:v>
      </x:c>
      <x:c r="J138" s="22" t="n">
        <x:v>14</x:v>
      </x:c>
      <x:c r="K138" s="43" t="n">
        <x:f>IF(OR(H138="",I138=""),"",H138*I138/10000)</x:f>
        <x:v>0.1026</x:v>
      </x:c>
      <x:c r="L138" s="9" t="str">
        <x:v>offiziell</x:v>
      </x:c>
      <x:c r="M138" s="9" t="str">
        <x:v>https://www.youtube.com/watch?v=FVIepHqSe3E</x:v>
      </x:c>
      <x:c r="N138" s="9" t="str">
        <x:v>The Simpsons</x:v>
      </x:c>
      <x:c r="O138" s="9" t="str">
        <x:v>Springfield-Viertel</x:v>
      </x:c>
      <x:c r="P138" s="9" t="str">
        <x:v>Kwik-E-Mart; Polizeiauto separat</x:v>
      </x:c>
      <x:c r="Q138" s="9" t="str">
        <x:v>latest_2356.txt</x:v>
      </x:c>
    </x:row>
    <x:row r="139">
      <x:c r="A139" s="9" t="str">
        <x:v>Game Boy™</x:v>
      </x:c>
      <x:c r="B139" s="9" t="str">
        <x:v>72046</x:v>
      </x:c>
      <x:c r="C139" s="21" t="n">
        <x:v>1</x:v>
      </x:c>
      <x:c r="D139" s="12" t="n">
        <x:v>59.99</x:v>
      </x:c>
      <x:c r="E139" s="12" t="n">
        <x:f>IF(OR(C139="",D139=""),"",C139*D139)</x:f>
        <x:v>59.99</x:v>
      </x:c>
      <x:c r="F139" s="12"/>
      <x:c r="G139" s="12" t="str">
        <x:f>IF(OR(C139="",F139=""),"",C139*F139)</x:f>
      </x:c>
      <x:c r="H139" s="22"/>
      <x:c r="I139" s="22"/>
      <x:c r="J139" s="22"/>
      <x:c r="K139" s="43" t="str">
        <x:f>IF(OR(H139="",I139=""),"",H139*I139/10000)</x:f>
      </x:c>
      <x:c r="L139" s="9" t="str">
        <x:v>offen</x:v>
      </x:c>
      <x:c r="M139" s="9" t="str"/>
      <x:c r="N139" s="9" t="str">
        <x:v>Gaming/Deko</x:v>
      </x:c>
      <x:c r="O139" s="9" t="str">
        <x:v>Freizeit / Arcade</x:v>
      </x:c>
      <x:c r="P139" s="9" t="str">
        <x:v>Noch keine verlässlichen aufgebauten Gesamtmaße eingetragen</x:v>
      </x:c>
      <x:c r="Q139" s="9" t="str">
        <x:v>latest_2318.txt</x:v>
      </x:c>
    </x:row>
    <x:row r="140">
      <x:c r="A140" s="9" t="str">
        <x:v>Donkey Kong Arcade</x:v>
      </x:c>
      <x:c r="B140" s="9" t="str">
        <x:v>72051</x:v>
      </x:c>
      <x:c r="C140" s="21" t="n">
        <x:v>1</x:v>
      </x:c>
      <x:c r="D140" s="12" t="n">
        <x:v>90</x:v>
      </x:c>
      <x:c r="E140" s="12" t="n">
        <x:f>IF(OR(C140="",D140=""),"",C140*D140)</x:f>
        <x:v>90</x:v>
      </x:c>
      <x:c r="F140" s="12"/>
      <x:c r="G140" s="12" t="str">
        <x:f>IF(OR(C140="",F140=""),"",C140*F140)</x:f>
      </x:c>
      <x:c r="H140" s="22"/>
      <x:c r="I140" s="22"/>
      <x:c r="J140" s="22"/>
      <x:c r="K140" s="43" t="str">
        <x:f>IF(OR(H140="",I140=""),"",H140*I140/10000)</x:f>
      </x:c>
      <x:c r="L140" s="9" t="str">
        <x:v>offen</x:v>
      </x:c>
      <x:c r="M140" s="9" t="str"/>
      <x:c r="N140" s="9" t="str">
        <x:v>Gaming/Deko</x:v>
      </x:c>
      <x:c r="O140" s="9" t="str">
        <x:v>Freizeit / Arcade</x:v>
      </x:c>
      <x:c r="P140" s="9" t="str">
        <x:v>Noch keine verlässlichen aufgebauten Gesamtmaße eingetragen</x:v>
      </x:c>
      <x:c r="Q140" s="9" t="str">
        <x:v>latest_2313.txt</x:v>
      </x:c>
    </x:row>
    <x:row r="141">
      <x:c r="A141" s="9" t="str">
        <x:v>Ligusterweg 4</x:v>
      </x:c>
      <x:c r="B141" s="9" t="str">
        <x:v>75968</x:v>
      </x:c>
      <x:c r="C141" s="21" t="n">
        <x:v>1</x:v>
      </x:c>
      <x:c r="D141" s="12" t="n">
        <x:v>69.99</x:v>
      </x:c>
      <x:c r="E141" s="12" t="n">
        <x:f>IF(OR(C141="",D141=""),"",C141*D141)</x:f>
        <x:v>69.99</x:v>
      </x:c>
      <x:c r="F141" s="12"/>
      <x:c r="G141" s="12" t="str">
        <x:f>IF(OR(C141="",F141=""),"",C141*F141)</x:f>
      </x:c>
      <x:c r="H141" s="22" t="n">
        <x:v>16</x:v>
      </x:c>
      <x:c r="I141" s="22" t="n">
        <x:v>12</x:v>
      </x:c>
      <x:c r="J141" s="22" t="n">
        <x:v>17</x:v>
      </x:c>
      <x:c r="K141" s="43" t="n">
        <x:f>IF(OR(H141="",I141=""),"",H141*I141/10000)</x:f>
        <x:v>0.0192</x:v>
      </x:c>
      <x:c r="L141" s="9" t="str">
        <x:v>offiziell</x:v>
      </x:c>
      <x:c r="M141" s="9" t="str">
        <x:v>https://www.lego.com/de-de/aboutus/news/2020/april/lego-harry-potter-2020</x:v>
      </x:c>
      <x:c r="N141" s="9" t="str">
        <x:v>Harry Potter</x:v>
      </x:c>
      <x:c r="O141" s="9" t="str">
        <x:v>Magisches Viertel / Hogwarts</x:v>
      </x:c>
      <x:c r="P141" s="9" t="str">
        <x:v>Haus; Auto separat</x:v>
      </x:c>
      <x:c r="Q141" s="9" t="str">
        <x:v>latest_2339.txt</x:v>
      </x:c>
    </x:row>
    <x:row r="142">
      <x:c r="A142" s="9" t="str">
        <x:v>Winkelgasse</x:v>
      </x:c>
      <x:c r="B142" s="9" t="str">
        <x:v>75978</x:v>
      </x:c>
      <x:c r="C142" s="21" t="n">
        <x:v>1</x:v>
      </x:c>
      <x:c r="D142" s="12"/>
      <x:c r="E142" s="12" t="str">
        <x:f>IF(OR(C142="",D142=""),"",C142*D142)</x:f>
      </x:c>
      <x:c r="F142" s="12"/>
      <x:c r="G142" s="12" t="str">
        <x:f>IF(OR(C142="",F142=""),"",C142*F142)</x:f>
      </x:c>
      <x:c r="H142" s="22" t="n">
        <x:v>102</x:v>
      </x:c>
      <x:c r="I142" s="22" t="n">
        <x:v>13</x:v>
      </x:c>
      <x:c r="J142" s="22" t="n">
        <x:v>29</x:v>
      </x:c>
      <x:c r="K142" s="43" t="n">
        <x:f>IF(OR(H142="",I142=""),"",H142*I142/10000)</x:f>
        <x:v>0.1326</x:v>
      </x:c>
      <x:c r="L142" s="9" t="str">
        <x:v>offiziell</x:v>
      </x:c>
      <x:c r="M142" s="9" t="str">
        <x:v>https://www.lego.com/en-de/product/diagon-alley-75978</x:v>
      </x:c>
      <x:c r="N142" s="9" t="str">
        <x:v>Harry Potter</x:v>
      </x:c>
      <x:c r="O142" s="9" t="str">
        <x:v>Magisches Viertel / Hogwarts</x:v>
      </x:c>
      <x:c r="P142" s="9" t="str">
        <x:v>Winkelgasse in langer Reihe</x:v>
      </x:c>
      <x:c r="Q142" s="9" t="str">
        <x:v>latest_2329.txt</x:v>
      </x:c>
    </x:row>
    <x:row r="143">
      <x:c r="A143" s="9" t="str">
        <x:v>Sanctum Sanctorum</x:v>
      </x:c>
      <x:c r="B143" s="9" t="str">
        <x:v>76218</x:v>
      </x:c>
      <x:c r="C143" s="21" t="n">
        <x:v>1</x:v>
      </x:c>
      <x:c r="D143" s="12" t="n">
        <x:v>156</x:v>
      </x:c>
      <x:c r="E143" s="12" t="n">
        <x:f>IF(OR(C143="",D143=""),"",C143*D143)</x:f>
        <x:v>156</x:v>
      </x:c>
      <x:c r="F143" s="12"/>
      <x:c r="G143" s="12" t="str">
        <x:f>IF(OR(C143="",F143=""),"",C143*F143)</x:f>
      </x:c>
      <x:c r="H143" s="22" t="n">
        <x:v>31</x:v>
      </x:c>
      <x:c r="I143" s="22" t="n">
        <x:v>26</x:v>
      </x:c>
      <x:c r="J143" s="22" t="n">
        <x:v>32</x:v>
      </x:c>
      <x:c r="K143" s="43" t="n">
        <x:f>IF(OR(H143="",I143=""),"",H143*I143/10000)</x:f>
        <x:v>0.0806</x:v>
      </x:c>
      <x:c r="L143" s="9" t="str">
        <x:v>offiziell</x:v>
      </x:c>
      <x:c r="M143" s="9" t="str">
        <x:v>https://www.lego.com/de-de/product/sanctum-sanctorum-76218</x:v>
      </x:c>
      <x:c r="N143" s="9" t="str">
        <x:v>Sonstiges</x:v>
      </x:c>
      <x:c r="O143" s="9" t="str">
        <x:v>Flexibel</x:v>
      </x:c>
      <x:c r="P143" s="9" t="str">
        <x:v>Gesamtmodell</x:v>
      </x:c>
      <x:c r="Q143" s="9" t="str">
        <x:v>manual</x:v>
      </x:c>
    </x:row>
    <x:row r="144">
      <x:c r="A144" s="9" t="str">
        <x:v>Besuch in Hogsmeade™</x:v>
      </x:c>
      <x:c r="B144" s="9" t="str">
        <x:v>76388</x:v>
      </x:c>
      <x:c r="C144" s="21" t="n">
        <x:v>1</x:v>
      </x:c>
      <x:c r="D144" s="12" t="n">
        <x:v>59.59</x:v>
      </x:c>
      <x:c r="E144" s="12" t="n">
        <x:f>IF(OR(C144="",D144=""),"",C144*D144)</x:f>
        <x:v>59.59</x:v>
      </x:c>
      <x:c r="F144" s="12"/>
      <x:c r="G144" s="12" t="str">
        <x:f>IF(OR(C144="",F144=""),"",C144*F144)</x:f>
      </x:c>
      <x:c r="H144" s="22" t="n">
        <x:v>30</x:v>
      </x:c>
      <x:c r="I144" s="22" t="n">
        <x:v>9</x:v>
      </x:c>
      <x:c r="J144" s="22" t="n">
        <x:v>22</x:v>
      </x:c>
      <x:c r="K144" s="43" t="n">
        <x:f>IF(OR(H144="",I144=""),"",H144*I144/10000)</x:f>
        <x:v>0.027</x:v>
      </x:c>
      <x:c r="L144" s="9" t="str">
        <x:v>offiziell</x:v>
      </x:c>
      <x:c r="M144" s="9" t="str">
        <x:v>https://www.lego.com/de-de/product/hogsmeade-village-visit-76388</x:v>
      </x:c>
      <x:c r="N144" s="9" t="str">
        <x:v>Harry Potter</x:v>
      </x:c>
      <x:c r="O144" s="9" t="str">
        <x:v>Magisches Viertel / Hogwarts</x:v>
      </x:c>
      <x:c r="P144" s="9" t="str">
        <x:v>Beide Hauptgebäude</x:v>
      </x:c>
      <x:c r="Q144" s="9" t="str">
        <x:v>latest_2340.txt</x:v>
      </x:c>
    </x:row>
    <x:row r="145">
      <x:c r="A145" s="9" t="str">
        <x:v>Hogwarts™ Kammer des Schreckens</x:v>
      </x:c>
      <x:c r="B145" s="9" t="str">
        <x:v>76389</x:v>
      </x:c>
      <x:c r="C145" s="21" t="n">
        <x:v>1</x:v>
      </x:c>
      <x:c r="D145" s="12" t="n">
        <x:v>103.74</x:v>
      </x:c>
      <x:c r="E145" s="12" t="n">
        <x:f>IF(OR(C145="",D145=""),"",C145*D145)</x:f>
        <x:v>103.74</x:v>
      </x:c>
      <x:c r="F145" s="12"/>
      <x:c r="G145" s="12" t="str">
        <x:f>IF(OR(C145="",F145=""),"",C145*F145)</x:f>
      </x:c>
      <x:c r="H145" s="22" t="n">
        <x:v>40</x:v>
      </x:c>
      <x:c r="I145" s="22" t="n">
        <x:v>11</x:v>
      </x:c>
      <x:c r="J145" s="22" t="n">
        <x:v>40</x:v>
      </x:c>
      <x:c r="K145" s="43" t="n">
        <x:f>IF(OR(H145="",I145=""),"",H145*I145/10000)</x:f>
        <x:v>0.044</x:v>
      </x:c>
      <x:c r="L145" s="9" t="str">
        <x:v>offiziell</x:v>
      </x:c>
      <x:c r="M145" s="9" t="str">
        <x:v>https://www.lego.com/en-gb/aboutus/news/2021/april/lego-harry-potter</x:v>
      </x:c>
      <x:c r="N145" s="9" t="str">
        <x:v>Harry Potter</x:v>
      </x:c>
      <x:c r="O145" s="9" t="str">
        <x:v>Magisches Viertel / Hogwarts</x:v>
      </x:c>
      <x:c r="P145" s="9" t="str">
        <x:v>Gesamtmodell</x:v>
      </x:c>
      <x:c r="Q145" s="9" t="str">
        <x:v>latest_2342.txt</x:v>
      </x:c>
    </x:row>
    <x:row r="146">
      <x:c r="A146" s="9" t="str">
        <x:v>Harry Potter™ &amp; Hermine Gran...</x:v>
      </x:c>
      <x:c r="B146" s="9" t="str">
        <x:v>76393</x:v>
      </x:c>
      <x:c r="C146" s="21" t="n">
        <x:v>1</x:v>
      </x:c>
      <x:c r="D146" s="12" t="n">
        <x:v>90.99</x:v>
      </x:c>
      <x:c r="E146" s="12" t="n">
        <x:f>IF(OR(C146="",D146=""),"",C146*D146)</x:f>
        <x:v>90.99</x:v>
      </x:c>
      <x:c r="F146" s="12"/>
      <x:c r="G146" s="12" t="str">
        <x:f>IF(OR(C146="",F146=""),"",C146*F146)</x:f>
      </x:c>
      <x:c r="H146" s="22"/>
      <x:c r="I146" s="22"/>
      <x:c r="J146" s="22"/>
      <x:c r="K146" s="43" t="str">
        <x:f>IF(OR(H146="",I146=""),"",H146*I146/10000)</x:f>
      </x:c>
      <x:c r="L146" s="9" t="str">
        <x:v>offen</x:v>
      </x:c>
      <x:c r="M146" s="9" t="str"/>
      <x:c r="N146" s="9" t="str">
        <x:v>Harry Potter</x:v>
      </x:c>
      <x:c r="O146" s="9" t="str">
        <x:v>Magisches Viertel / Hogwarts</x:v>
      </x:c>
      <x:c r="P146" s="9" t="str">
        <x:v>Noch keine verlässlichen aufgebauten Gesamtmaße eingetragen</x:v>
      </x:c>
      <x:c r="Q146" s="9" t="str">
        <x:v>latest_2359.txt</x:v>
      </x:c>
    </x:row>
    <x:row r="147">
      <x:c r="A147" s="9" t="str">
        <x:v>Hogwarts™: Dumbledores Buro</x:v>
      </x:c>
      <x:c r="B147" s="9" t="str">
        <x:v>76402</x:v>
      </x:c>
      <x:c r="C147" s="21" t="n">
        <x:v>1</x:v>
      </x:c>
      <x:c r="D147" s="12" t="n">
        <x:v>59.95</x:v>
      </x:c>
      <x:c r="E147" s="12" t="n">
        <x:f>IF(OR(C147="",D147=""),"",C147*D147)</x:f>
        <x:v>59.95</x:v>
      </x:c>
      <x:c r="F147" s="12"/>
      <x:c r="G147" s="12" t="str">
        <x:f>IF(OR(C147="",F147=""),"",C147*F147)</x:f>
      </x:c>
      <x:c r="H147" s="22"/>
      <x:c r="I147" s="22"/>
      <x:c r="J147" s="22"/>
      <x:c r="K147" s="43" t="str">
        <x:f>IF(OR(H147="",I147=""),"",H147*I147/10000)</x:f>
      </x:c>
      <x:c r="L147" s="9" t="str">
        <x:v>offen</x:v>
      </x:c>
      <x:c r="M147" s="9" t="str"/>
      <x:c r="N147" s="9" t="str">
        <x:v>Harry Potter</x:v>
      </x:c>
      <x:c r="O147" s="9" t="str">
        <x:v>Magisches Viertel / Hogwarts</x:v>
      </x:c>
      <x:c r="P147" s="9" t="str">
        <x:v>Noch keine verlässlichen aufgebauten Gesamtmaße eingetragen</x:v>
      </x:c>
      <x:c r="Q147" s="9" t="str">
        <x:v>latest_2341.txt</x:v>
      </x:c>
    </x:row>
    <x:row r="148">
      <x:c r="A148" s="9" t="str">
        <x:v>Zaubereiministerium</x:v>
      </x:c>
      <x:c r="B148" s="9" t="str">
        <x:v>76403</x:v>
      </x:c>
      <x:c r="C148" s="21" t="n">
        <x:v>1</x:v>
      </x:c>
      <x:c r="D148" s="12" t="n">
        <x:v>84.99</x:v>
      </x:c>
      <x:c r="E148" s="12" t="n">
        <x:f>IF(OR(C148="",D148=""),"",C148*D148)</x:f>
        <x:v>84.99</x:v>
      </x:c>
      <x:c r="F148" s="12"/>
      <x:c r="G148" s="12" t="str">
        <x:f>IF(OR(C148="",F148=""),"",C148*F148)</x:f>
      </x:c>
      <x:c r="H148" s="22"/>
      <x:c r="I148" s="22"/>
      <x:c r="J148" s="22"/>
      <x:c r="K148" s="43" t="str">
        <x:f>IF(OR(H148="",I148=""),"",H148*I148/10000)</x:f>
      </x:c>
      <x:c r="L148" s="9" t="str">
        <x:v>offen</x:v>
      </x:c>
      <x:c r="M148" s="9" t="str"/>
      <x:c r="N148" s="9" t="str">
        <x:v>Harry Potter</x:v>
      </x:c>
      <x:c r="O148" s="9" t="str">
        <x:v>Magisches Viertel / Hogwarts</x:v>
      </x:c>
      <x:c r="P148" s="9" t="str">
        <x:v>Noch keine verlässlichen aufgebauten Gesamtmaße eingetragen</x:v>
      </x:c>
      <x:c r="Q148" s="9" t="str">
        <x:v>latest_2340.txt</x:v>
      </x:c>
    </x:row>
    <x:row r="149">
      <x:c r="A149" s="9" t="str">
        <x:v>Grimmauldplatz Nr. 12</x:v>
      </x:c>
      <x:c r="B149" s="9" t="str">
        <x:v>76408</x:v>
      </x:c>
      <x:c r="C149" s="21" t="n">
        <x:v>1</x:v>
      </x:c>
      <x:c r="D149" s="12" t="n">
        <x:v>149</x:v>
      </x:c>
      <x:c r="E149" s="12" t="n">
        <x:f>IF(OR(C149="",D149=""),"",C149*D149)</x:f>
        <x:v>149</x:v>
      </x:c>
      <x:c r="F149" s="12"/>
      <x:c r="G149" s="12" t="str">
        <x:f>IF(OR(C149="",F149=""),"",C149*F149)</x:f>
      </x:c>
      <x:c r="H149" s="22" t="n">
        <x:v>24</x:v>
      </x:c>
      <x:c r="I149" s="22" t="n">
        <x:v>12</x:v>
      </x:c>
      <x:c r="J149" s="22" t="n">
        <x:v>28</x:v>
      </x:c>
      <x:c r="K149" s="43" t="n">
        <x:f>IF(OR(H149="",I149=""),"",H149*I149/10000)</x:f>
        <x:v>0.0288</x:v>
      </x:c>
      <x:c r="L149" s="9" t="str">
        <x:v>offiziell</x:v>
      </x:c>
      <x:c r="M149" s="9" t="str">
        <x:v>https://www.lego.com/de-de/product/12-grimmauld-place-76408</x:v>
      </x:c>
      <x:c r="N149" s="9" t="str">
        <x:v>Harry Potter</x:v>
      </x:c>
      <x:c r="O149" s="9" t="str">
        <x:v>Magisches Viertel / Hogwarts</x:v>
      </x:c>
      <x:c r="P149" s="9" t="str">
        <x:v>Voll geöffnet</x:v>
      </x:c>
      <x:c r="Q149" s="9" t="str">
        <x:v>latest_2338.txt</x:v>
      </x:c>
    </x:row>
    <x:row r="150">
      <x:c r="A150" s="9" t="str">
        <x:v>Der Kampf um Hogwarts™</x:v>
      </x:c>
      <x:c r="B150" s="9" t="str">
        <x:v>76415</x:v>
      </x:c>
      <x:c r="C150" s="21" t="n">
        <x:v>1</x:v>
      </x:c>
      <x:c r="D150" s="12" t="n">
        <x:v>56.28</x:v>
      </x:c>
      <x:c r="E150" s="12" t="n">
        <x:f>IF(OR(C150="",D150=""),"",C150*D150)</x:f>
        <x:v>56.28</x:v>
      </x:c>
      <x:c r="F150" s="12"/>
      <x:c r="G150" s="12" t="str">
        <x:f>IF(OR(C150="",F150=""),"",C150*F150)</x:f>
      </x:c>
      <x:c r="H150" s="22"/>
      <x:c r="I150" s="22"/>
      <x:c r="J150" s="22"/>
      <x:c r="K150" s="43" t="str">
        <x:f>IF(OR(H150="",I150=""),"",H150*I150/10000)</x:f>
      </x:c>
      <x:c r="L150" s="9" t="str">
        <x:v>offen</x:v>
      </x:c>
      <x:c r="M150" s="9" t="str"/>
      <x:c r="N150" s="9" t="str">
        <x:v>Harry Potter</x:v>
      </x:c>
      <x:c r="O150" s="9" t="str">
        <x:v>Magisches Viertel / Hogwarts</x:v>
      </x:c>
      <x:c r="P150" s="9" t="str">
        <x:v>Noch keine verlässlichen aufgebauten Gesamtmaße eingetragen</x:v>
      </x:c>
      <x:c r="Q150" s="9" t="str">
        <x:v>latest_2339.txt</x:v>
      </x:c>
    </x:row>
    <x:row r="151">
      <x:c r="A151" s="9" t="str">
        <x:v>Schloss Hogwarts™ mit Schlossgelan...</x:v>
      </x:c>
      <x:c r="B151" s="9" t="str">
        <x:v>76419</x:v>
      </x:c>
      <x:c r="C151" s="21" t="n">
        <x:v>1</x:v>
      </x:c>
      <x:c r="D151" s="12" t="n">
        <x:v>106</x:v>
      </x:c>
      <x:c r="E151" s="12" t="n">
        <x:f>IF(OR(C151="",D151=""),"",C151*D151)</x:f>
        <x:v>106</x:v>
      </x:c>
      <x:c r="F151" s="12"/>
      <x:c r="G151" s="12" t="str">
        <x:f>IF(OR(C151="",F151=""),"",C151*F151)</x:f>
      </x:c>
      <x:c r="H151" s="22" t="n">
        <x:v>35</x:v>
      </x:c>
      <x:c r="I151" s="22" t="n">
        <x:v>25</x:v>
      </x:c>
      <x:c r="J151" s="22" t="n">
        <x:v>21</x:v>
      </x:c>
      <x:c r="K151" s="43" t="n">
        <x:f>IF(OR(H151="",I151=""),"",H151*I151/10000)</x:f>
        <x:v>0.0875</x:v>
      </x:c>
      <x:c r="L151" s="9" t="str">
        <x:v>offiziell</x:v>
      </x:c>
      <x:c r="M151" s="9" t="str">
        <x:v>https://www.lego.com/de-de/product/hogwarts-castle-and-grounds-76419</x:v>
      </x:c>
      <x:c r="N151" s="9" t="str">
        <x:v>Harry Potter</x:v>
      </x:c>
      <x:c r="O151" s="9" t="str">
        <x:v>Magisches Viertel / Hogwarts</x:v>
      </x:c>
      <x:c r="P151" s="9" t="str">
        <x:v>Gesamtmodell</x:v>
      </x:c>
      <x:c r="Q151" s="9" t="str">
        <x:v>latest_2352.txt</x:v>
      </x:c>
    </x:row>
    <x:row r="152">
      <x:c r="A152" s="9" t="str">
        <x:v>Trimagisches Turnier: Der Schwarze ...</x:v>
      </x:c>
      <x:c r="B152" s="9" t="str">
        <x:v>76420</x:v>
      </x:c>
      <x:c r="C152" s="21" t="n">
        <x:v>1</x:v>
      </x:c>
      <x:c r="D152" s="12" t="n">
        <x:v>29.79</x:v>
      </x:c>
      <x:c r="E152" s="12" t="n">
        <x:f>IF(OR(C152="",D152=""),"",C152*D152)</x:f>
        <x:v>29.79</x:v>
      </x:c>
      <x:c r="F152" s="12"/>
      <x:c r="G152" s="12" t="str">
        <x:f>IF(OR(C152="",F152=""),"",C152*F152)</x:f>
      </x:c>
      <x:c r="H152" s="22"/>
      <x:c r="I152" s="22"/>
      <x:c r="J152" s="22"/>
      <x:c r="K152" s="43" t="str">
        <x:f>IF(OR(H152="",I152=""),"",H152*I152/10000)</x:f>
      </x:c>
      <x:c r="L152" s="9" t="str">
        <x:v>offen</x:v>
      </x:c>
      <x:c r="M152" s="9" t="str"/>
      <x:c r="N152" s="9" t="str">
        <x:v>Harry Potter</x:v>
      </x:c>
      <x:c r="O152" s="9" t="str">
        <x:v>Magisches Viertel / Hogwarts</x:v>
      </x:c>
      <x:c r="P152" s="9" t="str">
        <x:v>Noch keine verlässlichen aufgebauten Gesamtmaße eingetragen</x:v>
      </x:c>
      <x:c r="Q152" s="9" t="str">
        <x:v>latest_2339.txt</x:v>
      </x:c>
    </x:row>
    <x:row r="153">
      <x:c r="A153" s="9" t="str">
        <x:v>Fliegender Ford Anglia™</x:v>
      </x:c>
      <x:c r="B153" s="9" t="str">
        <x:v>76424</x:v>
      </x:c>
      <x:c r="C153" s="21" t="n">
        <x:v>1</x:v>
      </x:c>
      <x:c r="D153" s="12" t="n">
        <x:v>9.95</x:v>
      </x:c>
      <x:c r="E153" s="12" t="n">
        <x:f>IF(OR(C153="",D153=""),"",C153*D153)</x:f>
        <x:v>9.95</x:v>
      </x:c>
      <x:c r="F153" s="12"/>
      <x:c r="G153" s="12" t="str">
        <x:f>IF(OR(C153="",F153=""),"",C153*F153)</x:f>
      </x:c>
      <x:c r="H153" s="22"/>
      <x:c r="I153" s="22"/>
      <x:c r="J153" s="22"/>
      <x:c r="K153" s="43" t="str">
        <x:f>IF(OR(H153="",I153=""),"",H153*I153/10000)</x:f>
      </x:c>
      <x:c r="L153" s="9" t="str">
        <x:v>offen</x:v>
      </x:c>
      <x:c r="M153" s="9" t="str"/>
      <x:c r="N153" s="9" t="str">
        <x:v>Harry Potter</x:v>
      </x:c>
      <x:c r="O153" s="9" t="str">
        <x:v>Magisches Viertel / Hogwarts</x:v>
      </x:c>
      <x:c r="P153" s="9" t="str">
        <x:v>Noch keine verlässlichen aufgebauten Gesamtmaße eingetragen</x:v>
      </x:c>
      <x:c r="Q153" s="9" t="str">
        <x:v>latest_2336.txt</x:v>
      </x:c>
    </x:row>
    <x:row r="154">
      <x:c r="A154" s="9" t="str">
        <x:v>Bootshaus von Schloss Hogwarts</x:v>
      </x:c>
      <x:c r="B154" s="9" t="str">
        <x:v>76426</x:v>
      </x:c>
      <x:c r="C154" s="21" t="n">
        <x:v>1</x:v>
      </x:c>
      <x:c r="D154" s="12" t="n">
        <x:v>23.95</x:v>
      </x:c>
      <x:c r="E154" s="12" t="n">
        <x:f>IF(OR(C154="",D154=""),"",C154*D154)</x:f>
        <x:v>23.95</x:v>
      </x:c>
      <x:c r="F154" s="12"/>
      <x:c r="G154" s="12" t="str">
        <x:f>IF(OR(C154="",F154=""),"",C154*F154)</x:f>
      </x:c>
      <x:c r="H154" s="22"/>
      <x:c r="I154" s="22"/>
      <x:c r="J154" s="22"/>
      <x:c r="K154" s="43" t="str">
        <x:f>IF(OR(H154="",I154=""),"",H154*I154/10000)</x:f>
      </x:c>
      <x:c r="L154" s="9" t="str">
        <x:v>offen</x:v>
      </x:c>
      <x:c r="M154" s="9" t="str"/>
      <x:c r="N154" s="9" t="str">
        <x:v>Harry Potter</x:v>
      </x:c>
      <x:c r="O154" s="9" t="str">
        <x:v>Magisches Viertel / Hogwarts</x:v>
      </x:c>
      <x:c r="P154" s="9" t="str">
        <x:v>Noch keine verlässlichen aufgebauten Gesamtmaße eingetragen</x:v>
      </x:c>
      <x:c r="Q154" s="9" t="str">
        <x:v>manual</x:v>
      </x:c>
    </x:row>
    <x:row r="155">
      <x:c r="A155" s="9" t="str">
        <x:v>Hagrids Hütte: Ein unerwarteter Besuch</x:v>
      </x:c>
      <x:c r="B155" s="9" t="str">
        <x:v>76428</x:v>
      </x:c>
      <x:c r="C155" s="21" t="n">
        <x:v>1</x:v>
      </x:c>
      <x:c r="D155" s="12"/>
      <x:c r="E155" s="12" t="str">
        <x:f>IF(OR(C155="",D155=""),"",C155*D155)</x:f>
      </x:c>
      <x:c r="F155" s="12"/>
      <x:c r="G155" s="12" t="str">
        <x:f>IF(OR(C155="",F155=""),"",C155*F155)</x:f>
      </x:c>
      <x:c r="H155" s="22"/>
      <x:c r="I155" s="22"/>
      <x:c r="J155" s="22"/>
      <x:c r="K155" s="43" t="str">
        <x:f>IF(OR(H155="",I155=""),"",H155*I155/10000)</x:f>
      </x:c>
      <x:c r="L155" s="9" t="str">
        <x:v>offen</x:v>
      </x:c>
      <x:c r="M155" s="9" t="str"/>
      <x:c r="N155" s="9" t="str">
        <x:v>Harry Potter</x:v>
      </x:c>
      <x:c r="O155" s="9" t="str">
        <x:v>Magisches Viertel / Hogwarts</x:v>
      </x:c>
      <x:c r="P155" s="9" t="str">
        <x:v>Noch keine verlässlichen aufgebauten Gesamtmaße eingetragen</x:v>
      </x:c>
      <x:c r="Q155" s="9" t="str">
        <x:v>manual</x:v>
      </x:c>
    </x:row>
    <x:row r="156">
      <x:c r="A156" s="9" t="str">
        <x:v>Eulerei auf Schloss Hogwarts</x:v>
      </x:c>
      <x:c r="B156" s="9" t="str">
        <x:v>76430</x:v>
      </x:c>
      <x:c r="C156" s="21" t="n">
        <x:v>1</x:v>
      </x:c>
      <x:c r="D156" s="12" t="n">
        <x:v>28</x:v>
      </x:c>
      <x:c r="E156" s="12" t="n">
        <x:f>IF(OR(C156="",D156=""),"",C156*D156)</x:f>
        <x:v>28</x:v>
      </x:c>
      <x:c r="F156" s="12"/>
      <x:c r="G156" s="12" t="str">
        <x:f>IF(OR(C156="",F156=""),"",C156*F156)</x:f>
      </x:c>
      <x:c r="H156" s="22"/>
      <x:c r="I156" s="22"/>
      <x:c r="J156" s="22"/>
      <x:c r="K156" s="43" t="str">
        <x:f>IF(OR(H156="",I156=""),"",H156*I156/10000)</x:f>
      </x:c>
      <x:c r="L156" s="9" t="str">
        <x:v>offen</x:v>
      </x:c>
      <x:c r="M156" s="9" t="str"/>
      <x:c r="N156" s="9" t="str">
        <x:v>Harry Potter</x:v>
      </x:c>
      <x:c r="O156" s="9" t="str">
        <x:v>Magisches Viertel / Hogwarts</x:v>
      </x:c>
      <x:c r="P156" s="9" t="str">
        <x:v>Noch keine verlässlichen aufgebauten Gesamtmaße eingetragen</x:v>
      </x:c>
      <x:c r="Q156" s="9" t="str">
        <x:v>manual</x:v>
      </x:c>
    </x:row>
    <x:row r="157">
      <x:c r="A157" s="9" t="str">
        <x:v>Der verbotene Wald: Magische Wesen</x:v>
      </x:c>
      <x:c r="B157" s="9" t="str">
        <x:v>76432</x:v>
      </x:c>
      <x:c r="C157" s="21" t="n">
        <x:v>1</x:v>
      </x:c>
      <x:c r="D157" s="12" t="n">
        <x:v>19.95</x:v>
      </x:c>
      <x:c r="E157" s="12" t="n">
        <x:f>IF(OR(C157="",D157=""),"",C157*D157)</x:f>
        <x:v>19.95</x:v>
      </x:c>
      <x:c r="F157" s="12"/>
      <x:c r="G157" s="12" t="str">
        <x:f>IF(OR(C157="",F157=""),"",C157*F157)</x:f>
      </x:c>
      <x:c r="H157" s="22"/>
      <x:c r="I157" s="22"/>
      <x:c r="J157" s="22"/>
      <x:c r="K157" s="43" t="str">
        <x:f>IF(OR(H157="",I157=""),"",H157*I157/10000)</x:f>
      </x:c>
      <x:c r="L157" s="9" t="str">
        <x:v>offen</x:v>
      </x:c>
      <x:c r="M157" s="9" t="str"/>
      <x:c r="N157" s="9" t="str">
        <x:v>Harry Potter</x:v>
      </x:c>
      <x:c r="O157" s="9" t="str">
        <x:v>Magisches Viertel / Hogwarts</x:v>
      </x:c>
      <x:c r="P157" s="9" t="str">
        <x:v>Noch keine verlässlichen aufgebauten Gesamtmaße eingetragen</x:v>
      </x:c>
      <x:c r="Q157" s="9" t="str">
        <x:v>manual</x:v>
      </x:c>
    </x:row>
    <x:row r="158">
      <x:c r="A158" s="9" t="str">
        <x:v>Der Fuchsbau —- Sammleredition</x:v>
      </x:c>
      <x:c r="B158" s="9" t="str">
        <x:v>76437</x:v>
      </x:c>
      <x:c r="C158" s="21" t="n">
        <x:v>1</x:v>
      </x:c>
      <x:c r="D158" s="12" t="n">
        <x:v>949</x:v>
      </x:c>
      <x:c r="E158" s="12" t="n">
        <x:f>IF(OR(C158="",D158=""),"",C158*D158)</x:f>
        <x:v>949</x:v>
      </x:c>
      <x:c r="F158" s="12"/>
      <x:c r="G158" s="12" t="str">
        <x:f>IF(OR(C158="",F158=""),"",C158*F158)</x:f>
      </x:c>
      <x:c r="H158" s="22" t="n">
        <x:v>25</x:v>
      </x:c>
      <x:c r="I158" s="22" t="n">
        <x:v>23</x:v>
      </x:c>
      <x:c r="J158" s="22" t="n">
        <x:v>46</x:v>
      </x:c>
      <x:c r="K158" s="43" t="n">
        <x:f>IF(OR(H158="",I158=""),"",H158*I158/10000)</x:f>
        <x:v>0.0575</x:v>
      </x:c>
      <x:c r="L158" s="9" t="str">
        <x:v>offiziell</x:v>
      </x:c>
      <x:c r="M158" s="9" t="str">
        <x:v>https://www.lego.com/de-de/product/the-burrow-collectors-edition-76437</x:v>
      </x:c>
      <x:c r="N158" s="9" t="str">
        <x:v>Harry Potter</x:v>
      </x:c>
      <x:c r="O158" s="9" t="str">
        <x:v>Magisches Viertel / Hogwarts</x:v>
      </x:c>
      <x:c r="P158" s="9" t="str">
        <x:v>Gesamtmodell</x:v>
      </x:c>
      <x:c r="Q158" s="9" t="str">
        <x:v>latest_2321.txt</x:v>
      </x:c>
    </x:row>
    <x:row r="159">
      <x:c r="A159" s="9" t="str">
        <x:v>LEGO Harry Potter Adventskalender</x:v>
      </x:c>
      <x:c r="B159" s="9" t="str">
        <x:v>76438</x:v>
      </x:c>
      <x:c r="C159" s="21" t="n">
        <x:v>1</x:v>
      </x:c>
      <x:c r="D159" s="12" t="n">
        <x:v>0</x:v>
      </x:c>
      <x:c r="E159" s="12" t="str">
        <x:f>IF(OR(C159="",D159=""),"",C159*D159)</x:f>
      </x:c>
      <x:c r="F159" s="12"/>
      <x:c r="G159" s="12" t="str">
        <x:f>IF(OR(C159="",F159=""),"",C159*F159)</x:f>
      </x:c>
      <x:c r="H159" s="22"/>
      <x:c r="I159" s="22"/>
      <x:c r="J159" s="22"/>
      <x:c r="K159" s="43" t="str">
        <x:f>IF(OR(H159="",I159=""),"",H159*I159/10000)</x:f>
      </x:c>
      <x:c r="L159" s="9" t="str">
        <x:v>offen</x:v>
      </x:c>
      <x:c r="M159" s="9" t="str"/>
      <x:c r="N159" s="9" t="str">
        <x:v>Harry Potter</x:v>
      </x:c>
      <x:c r="O159" s="9" t="str">
        <x:v>Magisches Viertel / Hogwarts</x:v>
      </x:c>
      <x:c r="P159" s="9" t="str">
        <x:v>Noch keine verlässlichen aufgebauten Gesamtmaße eingetragen</x:v>
      </x:c>
      <x:c r="Q159" s="9" t="str">
        <x:v>latest_2327.txt</x:v>
      </x:c>
    </x:row>
    <x:row r="160">
      <x:c r="A160" s="9" t="str">
        <x:v>Die Zauberladen der Winkelgasse™</x:v>
      </x:c>
      <x:c r="B160" s="9" t="str">
        <x:v>76444</x:v>
      </x:c>
      <x:c r="C160" s="21" t="n">
        <x:v>1</x:v>
      </x:c>
      <x:c r="D160" s="12" t="n">
        <x:v>124.48</x:v>
      </x:c>
      <x:c r="E160" s="12" t="n">
        <x:f>IF(OR(C160="",D160=""),"",C160*D160)</x:f>
        <x:v>124.48</x:v>
      </x:c>
      <x:c r="F160" s="12"/>
      <x:c r="G160" s="12" t="str">
        <x:f>IF(OR(C160="",F160=""),"",C160*F160)</x:f>
      </x:c>
      <x:c r="H160" s="22" t="n">
        <x:v>88</x:v>
      </x:c>
      <x:c r="I160" s="22" t="n">
        <x:v>8</x:v>
      </x:c>
      <x:c r="J160" s="22" t="n">
        <x:v>14</x:v>
      </x:c>
      <x:c r="K160" s="43" t="n">
        <x:f>IF(OR(H160="",I160=""),"",H160*I160/10000)</x:f>
        <x:v>0.0704</x:v>
      </x:c>
      <x:c r="L160" s="9" t="str">
        <x:v>offiziell</x:v>
      </x:c>
      <x:c r="M160" s="9" t="str">
        <x:v>https://www.lego.com/de-de/product/diagon-alley-wizarding-shops-76444</x:v>
      </x:c>
      <x:c r="N160" s="9" t="str">
        <x:v>Harry Potter</x:v>
      </x:c>
      <x:c r="O160" s="9" t="str">
        <x:v>Magisches Viertel / Hogwarts</x:v>
      </x:c>
      <x:c r="P160" s="9" t="str">
        <x:v>Als lange Häuserzeile</x:v>
      </x:c>
      <x:c r="Q160" s="9" t="str">
        <x:v>latest_2325.txt</x:v>
      </x:c>
    </x:row>
    <x:row r="161">
      <x:c r="A161" s="9" t="str">
        <x:v>Hogwarts Castle: Herbology Class</x:v>
      </x:c>
      <x:c r="B161" s="9" t="str">
        <x:v>76445</x:v>
      </x:c>
      <x:c r="C161" s="21" t="n">
        <x:v>1</x:v>
      </x:c>
      <x:c r="D161" s="12" t="n">
        <x:v>24</x:v>
      </x:c>
      <x:c r="E161" s="12" t="n">
        <x:f>IF(OR(C161="",D161=""),"",C161*D161)</x:f>
        <x:v>24</x:v>
      </x:c>
      <x:c r="F161" s="12"/>
      <x:c r="G161" s="12" t="str">
        <x:f>IF(OR(C161="",F161=""),"",C161*F161)</x:f>
      </x:c>
      <x:c r="H161" s="22"/>
      <x:c r="I161" s="22"/>
      <x:c r="J161" s="22"/>
      <x:c r="K161" s="43" t="str">
        <x:f>IF(OR(H161="",I161=""),"",H161*I161/10000)</x:f>
      </x:c>
      <x:c r="L161" s="9" t="str">
        <x:v>offen</x:v>
      </x:c>
      <x:c r="M161" s="9" t="str"/>
      <x:c r="N161" s="9" t="str">
        <x:v>Harry Potter</x:v>
      </x:c>
      <x:c r="O161" s="9" t="str">
        <x:v>Magisches Viertel / Hogwarts</x:v>
      </x:c>
      <x:c r="P161" s="9" t="str">
        <x:v>Noch keine verlässlichen aufgebauten Gesamtmaße eingetragen</x:v>
      </x:c>
      <x:c r="Q161" s="9" t="str">
        <x:v>latest_2314.txt</x:v>
      </x:c>
    </x:row>
    <x:row r="162">
      <x:c r="A162" s="9" t="str">
        <x:v>Privet Drive: Aunt Marge's Visit</x:v>
      </x:c>
      <x:c r="B162" s="9" t="str">
        <x:v>76451</x:v>
      </x:c>
      <x:c r="C162" s="21" t="n">
        <x:v>1</x:v>
      </x:c>
      <x:c r="D162" s="12" t="n">
        <x:v>45</x:v>
      </x:c>
      <x:c r="E162" s="12" t="n">
        <x:f>IF(OR(C162="",D162=""),"",C162*D162)</x:f>
        <x:v>45</x:v>
      </x:c>
      <x:c r="F162" s="12"/>
      <x:c r="G162" s="12" t="str">
        <x:f>IF(OR(C162="",F162=""),"",C162*F162)</x:f>
      </x:c>
      <x:c r="H162" s="22"/>
      <x:c r="I162" s="22"/>
      <x:c r="J162" s="22"/>
      <x:c r="K162" s="43" t="str">
        <x:f>IF(OR(H162="",I162=""),"",H162*I162/10000)</x:f>
      </x:c>
      <x:c r="L162" s="9" t="str">
        <x:v>offen</x:v>
      </x:c>
      <x:c r="M162" s="9" t="str"/>
      <x:c r="N162" s="9" t="str">
        <x:v>Harry Potter</x:v>
      </x:c>
      <x:c r="O162" s="9" t="str">
        <x:v>Magisches Viertel / Hogwarts</x:v>
      </x:c>
      <x:c r="P162" s="9" t="str">
        <x:v>Noch keine verlässlichen aufgebauten Gesamtmaße eingetragen</x:v>
      </x:c>
      <x:c r="Q162" s="9" t="str">
        <x:v>latest_2314.txt</x:v>
      </x:c>
    </x:row>
    <x:row r="163">
      <x:c r="A163" s="9" t="str">
        <x:v>Landsitz der Familie Malfoy</x:v>
      </x:c>
      <x:c r="B163" s="9" t="str">
        <x:v>76453</x:v>
      </x:c>
      <x:c r="C163" s="21" t="n">
        <x:v>1</x:v>
      </x:c>
      <x:c r="D163" s="12" t="n">
        <x:v>79</x:v>
      </x:c>
      <x:c r="E163" s="12" t="n">
        <x:f>IF(OR(C163="",D163=""),"",C163*D163)</x:f>
        <x:v>79</x:v>
      </x:c>
      <x:c r="F163" s="12"/>
      <x:c r="G163" s="12" t="str">
        <x:f>IF(OR(C163="",F163=""),"",C163*F163)</x:f>
      </x:c>
      <x:c r="H163" s="22" t="n">
        <x:v>30</x:v>
      </x:c>
      <x:c r="I163" s="22" t="n">
        <x:v>17</x:v>
      </x:c>
      <x:c r="J163" s="22" t="n">
        <x:v>31</x:v>
      </x:c>
      <x:c r="K163" s="43" t="n">
        <x:f>IF(OR(H163="",I163=""),"",H163*I163/10000)</x:f>
        <x:v>0.051</x:v>
      </x:c>
      <x:c r="L163" s="9" t="str">
        <x:v>offiziell</x:v>
      </x:c>
      <x:c r="M163" s="9" t="str">
        <x:v>https://www.lego.com/de-de/product/malfoy-manor-76453</x:v>
      </x:c>
      <x:c r="N163" s="9" t="str">
        <x:v>Harry Potter</x:v>
      </x:c>
      <x:c r="O163" s="9" t="str">
        <x:v>Magisches Viertel / Hogwarts</x:v>
      </x:c>
      <x:c r="P163" s="9" t="str">
        <x:v>Gesamtmodell</x:v>
      </x:c>
      <x:c r="Q163" s="9" t="str">
        <x:v>latest_2314.txt</x:v>
      </x:c>
    </x:row>
    <x:row r="164">
      <x:c r="A164" s="9" t="str">
        <x:v>Flucht vor dem Jagdflugzeug</x:v>
      </x:c>
      <x:c r="B164" s="9" t="str">
        <x:v>77012</x:v>
      </x:c>
      <x:c r="C164" s="21" t="n">
        <x:v>1</x:v>
      </x:c>
      <x:c r="D164" s="12" t="n">
        <x:v>21</x:v>
      </x:c>
      <x:c r="E164" s="12" t="n">
        <x:f>IF(OR(C164="",D164=""),"",C164*D164)</x:f>
        <x:v>21</x:v>
      </x:c>
      <x:c r="F164" s="12"/>
      <x:c r="G164" s="12" t="str">
        <x:f>IF(OR(C164="",F164=""),"",C164*F164)</x:f>
      </x:c>
      <x:c r="H164" s="22"/>
      <x:c r="I164" s="22"/>
      <x:c r="J164" s="22"/>
      <x:c r="K164" s="43" t="str">
        <x:f>IF(OR(H164="",I164=""),"",H164*I164/10000)</x:f>
      </x:c>
      <x:c r="L164" s="9" t="str">
        <x:v>offen</x:v>
      </x:c>
      <x:c r="M164" s="9" t="str"/>
      <x:c r="N164" s="9" t="str">
        <x:v>Indiana Jones</x:v>
      </x:c>
      <x:c r="O164" s="9" t="str">
        <x:v>Abenteuer-/Archäologiepark</x:v>
      </x:c>
      <x:c r="P164" s="9" t="str">
        <x:v>Noch keine verlässlichen aufgebauten Gesamtmaße eingetragen</x:v>
      </x:c>
      <x:c r="Q164" s="9" t="str">
        <x:v>latest_2331.txt</x:v>
      </x:c>
    </x:row>
    <x:row r="165">
      <x:c r="A165" s="9" t="str">
        <x:v>Flucht aus dem Grabmal</x:v>
      </x:c>
      <x:c r="B165" s="9" t="str">
        <x:v>77013</x:v>
      </x:c>
      <x:c r="C165" s="21" t="n">
        <x:v>1</x:v>
      </x:c>
      <x:c r="D165" s="12" t="n">
        <x:v>23</x:v>
      </x:c>
      <x:c r="E165" s="12" t="n">
        <x:f>IF(OR(C165="",D165=""),"",C165*D165)</x:f>
        <x:v>23</x:v>
      </x:c>
      <x:c r="F165" s="12"/>
      <x:c r="G165" s="12" t="str">
        <x:f>IF(OR(C165="",F165=""),"",C165*F165)</x:f>
      </x:c>
      <x:c r="H165" s="22" t="n">
        <x:v>22</x:v>
      </x:c>
      <x:c r="I165" s="22" t="n">
        <x:v>21</x:v>
      </x:c>
      <x:c r="J165" s="22" t="n">
        <x:v>16</x:v>
      </x:c>
      <x:c r="K165" s="43" t="n">
        <x:f>IF(OR(H165="",I165=""),"",H165*I165/10000)</x:f>
        <x:v>0.0462</x:v>
      </x:c>
      <x:c r="L165" s="9" t="str">
        <x:v>offiziell</x:v>
      </x:c>
      <x:c r="M165" s="9" t="str">
        <x:v>https://www.lego.com/de-de/product/escape-from-the-lost-tomb-77013</x:v>
      </x:c>
      <x:c r="N165" s="9" t="str">
        <x:v>Indiana Jones</x:v>
      </x:c>
      <x:c r="O165" s="9" t="str">
        <x:v>Abenteuer-/Archäologiepark</x:v>
      </x:c>
      <x:c r="P165" s="9" t="str">
        <x:v>Gesamtmodell</x:v>
      </x:c>
      <x:c r="Q165" s="9" t="str">
        <x:v>latest_2332.txt</x:v>
      </x:c>
    </x:row>
    <x:row r="166">
      <x:c r="A166" s="9" t="str">
        <x:v>Tempel des goldenen Gotzen</x:v>
      </x:c>
      <x:c r="B166" s="9" t="str">
        <x:v>77015</x:v>
      </x:c>
      <x:c r="C166" s="21" t="n">
        <x:v>1</x:v>
      </x:c>
      <x:c r="D166" s="12" t="n">
        <x:v>103</x:v>
      </x:c>
      <x:c r="E166" s="12" t="n">
        <x:f>IF(OR(C166="",D166=""),"",C166*D166)</x:f>
        <x:v>103</x:v>
      </x:c>
      <x:c r="F166" s="12"/>
      <x:c r="G166" s="12" t="str">
        <x:f>IF(OR(C166="",F166=""),"",C166*F166)</x:f>
      </x:c>
      <x:c r="H166" s="22" t="n">
        <x:v>51</x:v>
      </x:c>
      <x:c r="I166" s="22" t="n">
        <x:v>19</x:v>
      </x:c>
      <x:c r="J166" s="22" t="n">
        <x:v>21</x:v>
      </x:c>
      <x:c r="K166" s="43" t="n">
        <x:f>IF(OR(H166="",I166=""),"",H166*I166/10000)</x:f>
        <x:v>0.0969</x:v>
      </x:c>
      <x:c r="L166" s="9" t="str">
        <x:v>offiziell</x:v>
      </x:c>
      <x:c r="M166" s="9" t="str">
        <x:v>https://www.lego.com/de-de/product/temple-of-the-golden-idol-77015</x:v>
      </x:c>
      <x:c r="N166" s="9" t="str">
        <x:v>Indiana Jones</x:v>
      </x:c>
      <x:c r="O166" s="9" t="str">
        <x:v>Abenteuer-/Archäologiepark</x:v>
      </x:c>
      <x:c r="P166" s="9" t="str">
        <x:v>Gesamtmodell</x:v>
      </x:c>
      <x:c r="Q166" s="9" t="str">
        <x:v>latest_2353.txt</x:v>
      </x:c>
    </x:row>
    <x:row r="167">
      <x:c r="A167" s="9" t="str">
        <x:v>Wohnzimmer der Simpsons</x:v>
      </x:c>
      <x:c r="B167" s="9" t="str">
        <x:v>5009325</x:v>
      </x:c>
      <x:c r="C167" s="21" t="n">
        <x:v>1</x:v>
      </x:c>
      <x:c r="D167" s="12" t="n">
        <x:v>0</x:v>
      </x:c>
      <x:c r="E167" s="12" t="str">
        <x:f>IF(OR(C167="",D167=""),"",C167*D167)</x:f>
      </x:c>
      <x:c r="F167" s="12"/>
      <x:c r="G167" s="12" t="str">
        <x:f>IF(OR(C167="",F167=""),"",C167*F167)</x:f>
      </x:c>
      <x:c r="H167" s="22"/>
      <x:c r="I167" s="22"/>
      <x:c r="J167" s="22"/>
      <x:c r="K167" s="43" t="str">
        <x:f>IF(OR(H167="",I167=""),"",H167*I167/10000)</x:f>
      </x:c>
      <x:c r="L167" s="9" t="str">
        <x:v>offen</x:v>
      </x:c>
      <x:c r="M167" s="9" t="str"/>
      <x:c r="N167" s="9" t="str">
        <x:v>The Simpsons</x:v>
      </x:c>
      <x:c r="O167" s="9" t="str">
        <x:v>Springfield-Viertel</x:v>
      </x:c>
      <x:c r="P167" s="9" t="str">
        <x:v>Noch keine verlässlichen aufgebauten Gesamtmaße eingetragen</x:v>
      </x:c>
      <x:c r="Q167" s="9" t="str">
        <x:v>latest_2322.txt</x:v>
      </x:c>
    </x:row>
  </x:sheetData>
  <x:conditionalFormatting sqref="L2:L167">
    <x:cfRule type="expression" dxfId="0" priority="1">
      <x:formula>L2="offen"</x:formula>
    </x:cfRule>
    <x:cfRule type="expression" dxfId="1" priority="2">
      <x:formula>OR(L2="Teilmodell",L2="teilweise offiziell")</x:formula>
    </x:cfRule>
    <x:cfRule type="expression" dxfId="2" priority="3">
      <x:formula>OR(L2="offiziell",L2="recherchiert",L2="offiziell/geometrisch",L2="recherchiert/geometrisch",L2="geometrisch",L2="offiziell/variabel")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03187a1dff4e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70" hidden="0" customWidth="1"/>
  </x:cols>
  <x:sheetData>
    <x:row r="1">
      <x:c r="A1" s="19" t="str">
        <x:v>Aktueller Referenzstand</x:v>
      </x:c>
      <x:c r="B1" s="19" t="str">
        <x:v>Wert</x:v>
      </x:c>
    </x:row>
    <x:row r="2">
      <x:c r="A2" s="9" t="str">
        <x:v>Brickr Sets gesamt</x:v>
      </x:c>
      <x:c r="B2" s="9" t="n">
        <x:v>253</x:v>
      </x:c>
    </x:row>
    <x:row r="3">
      <x:c r="A3" s="9" t="str">
        <x:v>In Screenshots erfasste Exemplare</x:v>
      </x:c>
      <x:c r="B3" s="9" t="n">
        <x:v>245</x:v>
      </x:c>
    </x:row>
    <x:row r="4">
      <x:c r="A4" s="9" t="str">
        <x:v>Noch abzugleichende Exemplare</x:v>
      </x:c>
      <x:c r="B4" s="9" t="n">
        <x:v>8</x:v>
      </x:c>
    </x:row>
    <x:row r="5">
      <x:c r="A5" s="9" t="str">
        <x:v>Eindeutige Artikelnummern erfasst</x:v>
      </x:c>
      <x:c r="B5" s="9" t="n">
        <x:v>166</x:v>
      </x:c>
    </x:row>
    <x:row r="6">
      <x:c r="A6" s="9" t="str">
        <x:v>Investment laut Brickr (€)</x:v>
      </x:c>
      <x:c r="B6" s="12" t="n">
        <x:v>18026.14</x:v>
      </x:c>
    </x:row>
    <x:row r="7">
      <x:c r="A7" s="9" t="str">
        <x:v>Aktueller Wert laut Brickr (€)</x:v>
      </x:c>
      <x:c r="B7" s="12" t="n">
        <x:v>24269.99</x:v>
      </x:c>
    </x:row>
    <x:row r="8">
      <x:c r="A8" s="9" t="str">
        <x:v>Wertzuwachs laut Brickr (€)</x:v>
      </x:c>
      <x:c r="B8" s="12" t="n">
        <x:v>6243.85</x:v>
      </x:c>
    </x:row>
    <x:row r="9">
      <x:c r="A9" s="9" t="str">
        <x:v>Wertzuwachs laut Brickr (%)</x:v>
      </x:c>
      <x:c r="B9" s="23" t="n">
        <x:v>0.3464</x:v>
      </x:c>
    </x:row>
    <x:row r="10">
      <x:c r="A10" s="9" t="str">
        <x:v>Ausgewertete Screenshots</x:v>
      </x:c>
      <x:c r="B10" s="9" t="n">
        <x:v>47</x:v>
      </x:c>
    </x:row>
    <x:row r="11">
      <x:c r="A11" s="9" t="str">
        <x:v>Status</x:v>
      </x:c>
      <x:c r="B11" s="9" t="str">
        <x:v>253 ist der aktuelle Gesamtbestand an Sets/Exemplaren. Die Einzelzeilen der Screenshots summieren sich derzeit auf 245 Exemplare; 8 Exemplare fehlen im Bildabgleich.</x:v>
      </x:c>
    </x:row>
    <x:row r="12">
      <x:c r="A12" s="9" t="str">
        <x:v>Nächster Schritt</x:v>
      </x:c>
      <x:c r="B12" s="9" t="str">
        <x:v>Fehlende 8 Exemplare identifizieren; danach Maße, Kategorien und Stadtbereiche vervollständigen.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6" hidden="0" customWidth="1"/>
    <x:col min="5" max="5" width="20" hidden="0" customWidth="1"/>
    <x:col min="6" max="6" width="20" hidden="0" customWidth="1"/>
  </x:cols>
  <x:sheetData>
    <x:row r="1" ht="22" customHeight="1">
      <x:c r="A1" s="26" t="str">
        <x:v>LEGO Sammlung – aktueller Stand</x:v>
      </x:c>
      <x:c r="B1" s="26"/>
      <x:c r="C1" s="26"/>
      <x:c r="D1" s="26"/>
      <x:c r="E1" s="26"/>
      <x:c r="F1" s="26"/>
    </x:row>
    <x:row r="2" ht="22" customHeight="1"/>
    <x:row r="3" ht="22" customHeight="1">
      <x:c r="A3" s="30" t="str">
        <x:v>Kennzahl</x:v>
      </x:c>
      <x:c r="B3" s="30" t="str">
        <x:v>Wert</x:v>
      </x:c>
      <x:c r="C3" s="9"/>
      <x:c r="D3" s="30" t="str">
        <x:v>Datenbankstatus</x:v>
      </x:c>
      <x:c r="E3" s="30" t="str">
        <x:v>Wert</x:v>
      </x:c>
    </x:row>
    <x:row r="4" ht="22" customHeight="1">
      <x:c r="A4" s="9" t="str">
        <x:v>Sets gesamt</x:v>
      </x:c>
      <x:c r="B4" s="9" t="n">
        <x:v>253</x:v>
      </x:c>
      <x:c r="C4" s="9"/>
      <x:c r="D4" s="9" t="str">
        <x:v>Erfasste Exemplare</x:v>
      </x:c>
      <x:c r="E4" s="9" t="n">
        <x:v>245</x:v>
      </x:c>
    </x:row>
    <x:row r="5" ht="22" customHeight="1">
      <x:c r="A5" s="9" t="str">
        <x:v>Investment</x:v>
      </x:c>
      <x:c r="B5" s="12" t="n">
        <x:v>18026.14</x:v>
      </x:c>
      <x:c r="C5" s="9"/>
      <x:c r="D5" s="9" t="str">
        <x:v>Fehlende Exemplare</x:v>
      </x:c>
      <x:c r="E5" s="9" t="n">
        <x:v>8</x:v>
      </x:c>
    </x:row>
    <x:row r="6" ht="22" customHeight="1">
      <x:c r="A6" s="9" t="str">
        <x:v>Aktueller Wert</x:v>
      </x:c>
      <x:c r="B6" s="12" t="n">
        <x:v>24269.99</x:v>
      </x:c>
      <x:c r="C6" s="9"/>
      <x:c r="D6" s="9" t="str">
        <x:v>Eindeutige Artikelnummern</x:v>
      </x:c>
      <x:c r="E6" s="9" t="n">
        <x:v>166</x:v>
      </x:c>
    </x:row>
    <x:row r="7" ht="22" customHeight="1">
      <x:c r="A7" s="9" t="str">
        <x:v>Wertzuwachs</x:v>
      </x:c>
      <x:c r="B7" s="12" t="n">
        <x:v>6243.85</x:v>
      </x:c>
      <x:c r="C7" s="9"/>
      <x:c r="D7" s="9"/>
      <x:c r="E7" s="9"/>
    </x:row>
    <x:row r="8" ht="22" customHeight="1"/>
    <x:row r="9" ht="22" customHeight="1">
      <x:c r="A9" s="33" t="str">
        <x:v>Hinweis: Brickr zeigt 253 Sets gesamt. Aus den aktuell ausgewerteten Screenshots sind 245 Exemplare sicher den Einzelzeilen zugeordnet. Die Differenz von 8 wird noch abgeglichen; es werden keine fehlenden Sets erfunden.</x:v>
      </x:c>
      <x:c r="B9" s="33"/>
      <x:c r="C9" s="33"/>
      <x:c r="D9" s="33"/>
      <x:c r="E9" s="33"/>
      <x:c r="F9" s="33"/>
    </x:row>
    <x:row r="10" ht="22" customHeight="1">
      <x:c r="A10" s="33"/>
      <x:c r="B10" s="33"/>
      <x:c r="C10" s="33"/>
      <x:c r="D10" s="33"/>
      <x:c r="E10" s="33"/>
      <x:c r="F10" s="33"/>
    </x:row>
  </x:sheetData>
  <x:mergeCells>
    <x:mergeCell ref="A1:F1"/>
    <x:mergeCell ref="A9:F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4" max="4" width="34" hidden="0" customWidth="1"/>
    <x:col min="5" max="5" width="14" hidden="0" customWidth="1"/>
    <x:col min="6" max="6" width="22" hidden="0" customWidth="1"/>
  </x:cols>
  <x:sheetData>
    <x:row r="1">
      <x:c r="A1" s="45" t="str">
        <x:v>LEGO-Sammlung – Maße &amp; Stadtplanung</x:v>
      </x:c>
      <x:c r="B1" s="45"/>
      <x:c r="C1" s="45"/>
      <x:c r="D1" s="45"/>
      <x:c r="E1" s="45"/>
      <x:c r="F1" s="45"/>
      <x:c r="G1" s="45"/>
      <x:c r="H1" s="45"/>
    </x:row>
    <x:row r="3">
      <x:c r="A3" s="49" t="str">
        <x:v>Kennzahl</x:v>
      </x:c>
      <x:c r="B3" s="49" t="str">
        <x:v>Wert</x:v>
      </x:c>
      <x:c r="C3" s="9"/>
      <x:c r="D3" s="49" t="str">
        <x:v>Stadtbereich</x:v>
      </x:c>
      <x:c r="E3" s="49" t="str">
        <x:v>Exemplare</x:v>
      </x:c>
      <x:c r="F3" s="49" t="str">
        <x:v>bek. Stellfläche m²</x:v>
      </x:c>
    </x:row>
    <x:row r="4">
      <x:c r="A4" s="9" t="str">
        <x:v>Bestätigte Exemplare</x:v>
      </x:c>
      <x:c r="B4" s="9" t="n">
        <x:v>245</x:v>
      </x:c>
      <x:c r="C4" s="9"/>
      <x:c r="D4" s="9" t="str">
        <x:v>Weihnachtsdorf</x:v>
      </x:c>
      <x:c r="E4" s="9" t="n">
        <x:f>SUMIF('LEGO Sammlung'!O$2:O$167,D4,'LEGO Sammlung'!C$2:C$167)</x:f>
        <x:v>29</x:v>
      </x:c>
      <x:c r="F4" s="50" t="n">
        <x:f>SUMPRODUCT(('LEGO Sammlung'!O$2:O$167=D4)*('LEGO Sammlung'!K$2:K$167)*('LEGO Sammlung'!C$2:C$167))</x:f>
        <x:v>0.5645000000000001</x:v>
      </x:c>
    </x:row>
    <x:row r="5">
      <x:c r="A5" s="9" t="str">
        <x:v>Eindeutige Setnummern</x:v>
      </x:c>
      <x:c r="B5" s="9" t="n">
        <x:v>166</x:v>
      </x:c>
      <x:c r="C5" s="9"/>
      <x:c r="D5" s="9" t="str">
        <x:v>Bahn &amp; Bahnhof</x:v>
      </x:c>
      <x:c r="E5" s="9" t="n">
        <x:f>SUMIF('LEGO Sammlung'!O$2:O$167,D5,'LEGO Sammlung'!C$2:C$167)</x:f>
        <x:v>4</x:v>
      </x:c>
      <x:c r="F5" s="50" t="n">
        <x:f>SUMPRODUCT(('LEGO Sammlung'!O$2:O$167=D5)*('LEGO Sammlung'!K$2:K$167)*('LEGO Sammlung'!C$2:C$167))</x:f>
        <x:v>0.0928</x:v>
      </x:c>
    </x:row>
    <x:row r="6">
      <x:c r="A6" s="9" t="str">
        <x:v>Sets mit Breite + Tiefe</x:v>
      </x:c>
      <x:c r="B6" s="9" t="n">
        <x:f>COUNTIFS('LEGO Sammlung'!H2:H167,"&gt;0",'LEGO Sammlung'!I2:I167,"&gt;0")</x:f>
        <x:v>84</x:v>
      </x:c>
      <x:c r="C6" s="9"/>
      <x:c r="D6" s="9" t="str">
        <x:v>Hafen &amp; Küste</x:v>
      </x:c>
      <x:c r="E6" s="9" t="n">
        <x:f>SUMIF('LEGO Sammlung'!O$2:O$167,D6,'LEGO Sammlung'!C$2:C$167)</x:f>
        <x:v>3</x:v>
      </x:c>
      <x:c r="F6" s="50" t="n">
        <x:f>SUMPRODUCT(('LEGO Sammlung'!O$2:O$167=D6)*('LEGO Sammlung'!K$2:K$167)*('LEGO Sammlung'!C$2:C$167))</x:f>
        <x:v>0.29300000000000004</x:v>
      </x:c>
    </x:row>
    <x:row r="7">
      <x:c r="A7" s="9" t="str">
        <x:v>Davon vollständig B×T×H</x:v>
      </x:c>
      <x:c r="B7" s="9" t="n">
        <x:f>COUNTIFS('LEGO Sammlung'!H2:H167,"&gt;0",'LEGO Sammlung'!I2:I167,"&gt;0",'LEGO Sammlung'!J2:J167,"&gt;0")</x:f>
        <x:v>84</x:v>
      </x:c>
      <x:c r="C7" s="9"/>
      <x:c r="D7" s="9" t="str">
        <x:v>Innenstadt / Altstadt</x:v>
      </x:c>
      <x:c r="E7" s="9" t="n">
        <x:f>SUMIF('LEGO Sammlung'!O$2:O$167,D7,'LEGO Sammlung'!C$2:C$167)</x:f>
        <x:v>21</x:v>
      </x:c>
      <x:c r="F7" s="50" t="n">
        <x:f>SUMPRODUCT(('LEGO Sammlung'!O$2:O$167=D7)*('LEGO Sammlung'!K$2:K$167)*('LEGO Sammlung'!C$2:C$167))</x:f>
        <x:v>1.5372219999999999</x:v>
      </x:c>
    </x:row>
    <x:row r="8">
      <x:c r="A8" s="9" t="str">
        <x:v>Noch offen / nur teilweise</x:v>
      </x:c>
      <x:c r="B8" s="9" t="n">
        <x:f>166-B6</x:f>
        <x:v>82</x:v>
      </x:c>
      <x:c r="C8" s="9"/>
      <x:c r="D8" s="9" t="str">
        <x:v>Weltpark / Miniatur-Ausstellung</x:v>
      </x:c>
      <x:c r="E8" s="9" t="n">
        <x:f>SUMIF('LEGO Sammlung'!O$2:O$167,D8,'LEGO Sammlung'!C$2:C$167)</x:f>
        <x:v>24</x:v>
      </x:c>
      <x:c r="F8" s="50" t="n">
        <x:f>SUMPRODUCT(('LEGO Sammlung'!O$2:O$167=D8)*('LEGO Sammlung'!K$2:K$167)*('LEGO Sammlung'!C$2:C$167))</x:f>
        <x:v>0.1676</x:v>
      </x:c>
    </x:row>
    <x:row r="9">
      <x:c r="A9" s="9" t="str">
        <x:v>Bekannte reine Stellfläche inkl. Mengen (m²)</x:v>
      </x:c>
      <x:c r="B9" s="50" t="n">
        <x:f>SUMPRODUCT('LEGO Sammlung'!K2:K167,'LEGO Sammlung'!C2:C167)</x:f>
        <x:v>11.249534</x:v>
      </x:c>
      <x:c r="C9" s="9"/>
      <x:c r="D9" s="9" t="str">
        <x:v>Magisches Viertel / Hogwarts</x:v>
      </x:c>
      <x:c r="E9" s="9" t="n">
        <x:f>SUMIF('LEGO Sammlung'!O$2:O$167,D9,'LEGO Sammlung'!C$2:C$167)</x:f>
        <x:v>22</x:v>
      </x:c>
      <x:c r="F9" s="50" t="n">
        <x:f>SUMPRODUCT(('LEGO Sammlung'!O$2:O$167=D9)*('LEGO Sammlung'!K$2:K$167)*('LEGO Sammlung'!C$2:C$167))</x:f>
        <x:v>0.518</x:v>
      </x:c>
    </x:row>
    <x:row r="10">
      <x:c r="A10" s="9"/>
      <x:c r="B10" s="9"/>
      <x:c r="C10" s="9"/>
      <x:c r="D10" s="9" t="str">
        <x:v>Springfield-Viertel</x:v>
      </x:c>
      <x:c r="E10" s="9" t="n">
        <x:f>SUMIF('LEGO Sammlung'!O$2:O$167,D10,'LEGO Sammlung'!C$2:C$167)</x:f>
        <x:v>4</x:v>
      </x:c>
      <x:c r="F10" s="50" t="n">
        <x:f>SUMPRODUCT(('LEGO Sammlung'!O$2:O$167=D10)*('LEGO Sammlung'!K$2:K$167)*('LEGO Sammlung'!C$2:C$167))</x:f>
        <x:v>0.25139999999999996</x:v>
      </x:c>
    </x:row>
    <x:row r="11">
      <x:c r="A11" s="9"/>
      <x:c r="B11" s="9"/>
      <x:c r="C11" s="9"/>
      <x:c r="D11" s="9" t="str">
        <x:v>Disney-/Freizeitpark-Viertel</x:v>
      </x:c>
      <x:c r="E11" s="9" t="n">
        <x:f>SUMIF('LEGO Sammlung'!O$2:O$167,D11,'LEGO Sammlung'!C$2:C$167)</x:f>
        <x:v>8</x:v>
      </x:c>
      <x:c r="F11" s="50" t="n">
        <x:f>SUMPRODUCT(('LEGO Sammlung'!O$2:O$167=D11)*('LEGO Sammlung'!K$2:K$167)*('LEGO Sammlung'!C$2:C$167))</x:f>
        <x:v>0.1248</x:v>
      </x:c>
    </x:row>
    <x:row r="12">
      <x:c r="A12" s="52" t="str">
        <x:v>Die Maße beziehen sich möglichst auf das aufgebaute Modell, nicht auf die Verpackung. Bei variablen Sets (Winter-Szenen, Gleise, modulare Anordnungen) sind Maße Planungswerte. Fehlende Maße bleiben bewusst leer statt geschätzt zu werden.</x:v>
      </x:c>
      <x:c r="B12" s="52"/>
      <x:c r="C12" s="9"/>
      <x:c r="D12" s="9" t="str">
        <x:v>Historisches Viertel</x:v>
      </x:c>
      <x:c r="E12" s="9" t="n">
        <x:f>SUMIF('LEGO Sammlung'!O$2:O$167,D12,'LEGO Sammlung'!C$2:C$167)</x:f>
        <x:v>4</x:v>
      </x:c>
      <x:c r="F12" s="50" t="n">
        <x:f>SUMPRODUCT(('LEGO Sammlung'!O$2:O$167=D12)*('LEGO Sammlung'!K$2:K$167)*('LEGO Sammlung'!C$2:C$167))</x:f>
        <x:v>0.341</x:v>
      </x:c>
    </x:row>
    <x:row r="13">
      <x:c r="A13" s="52"/>
      <x:c r="B13" s="52"/>
      <x:c r="C13" s="9"/>
      <x:c r="D13" s="9" t="str">
        <x:v>Park &amp; Botanischer Bereich</x:v>
      </x:c>
      <x:c r="E13" s="9" t="n">
        <x:f>SUMIF('LEGO Sammlung'!O$2:O$167,D13,'LEGO Sammlung'!C$2:C$167)</x:f>
        <x:v>6</x:v>
      </x:c>
      <x:c r="F13" s="50" t="n">
        <x:f>SUMPRODUCT(('LEGO Sammlung'!O$2:O$167=D13)*('LEGO Sammlung'!K$2:K$167)*('LEGO Sammlung'!C$2:C$167))</x:f>
        <x:v>0.2474</x:v>
      </x:c>
    </x:row>
    <x:row r="14">
      <x:c r="A14" s="52"/>
      <x:c r="B14" s="52"/>
      <x:c r="C14" s="9"/>
      <x:c r="D14" s="9" t="str">
        <x:v>Technik- &amp; Raumfahrtmuseum</x:v>
      </x:c>
      <x:c r="E14" s="9" t="n">
        <x:f>SUMIF('LEGO Sammlung'!O$2:O$167,D14,'LEGO Sammlung'!C$2:C$167)</x:f>
        <x:v>4</x:v>
      </x:c>
      <x:c r="F14" s="50" t="n">
        <x:f>SUMPRODUCT(('LEGO Sammlung'!O$2:O$167=D14)*('LEGO Sammlung'!K$2:K$167)*('LEGO Sammlung'!C$2:C$167))</x:f>
        <x:v>0.044</x:v>
      </x:c>
    </x:row>
    <x:row r="15">
      <x:c r="A15" s="52"/>
      <x:c r="B15" s="52"/>
      <x:c r="C15" s="9"/>
      <x:c r="D15" s="9" t="str">
        <x:v>Wohnviertel</x:v>
      </x:c>
      <x:c r="E15" s="9" t="n">
        <x:f>SUMIF('LEGO Sammlung'!O$2:O$167,D15,'LEGO Sammlung'!C$2:C$167)</x:f>
        <x:v>3</x:v>
      </x:c>
      <x:c r="F15" s="50" t="n">
        <x:f>SUMPRODUCT(('LEGO Sammlung'!O$2:O$167=D15)*('LEGO Sammlung'!K$2:K$167)*('LEGO Sammlung'!C$2:C$167))</x:f>
        <x:v>0.22102</x:v>
      </x:c>
    </x:row>
    <x:row r="16">
      <x:c r="A16" s="52"/>
      <x:c r="B16" s="52"/>
      <x:c r="C16" s="9"/>
      <x:c r="D16" s="9" t="str">
        <x:v>Abenteuer-/Archäologiepark</x:v>
      </x:c>
      <x:c r="E16" s="9" t="n">
        <x:f>SUMIF('LEGO Sammlung'!O$2:O$167,D16,'LEGO Sammlung'!C$2:C$167)</x:f>
        <x:v>3</x:v>
      </x:c>
      <x:c r="F16" s="50" t="n">
        <x:f>SUMPRODUCT(('LEGO Sammlung'!O$2:O$167=D16)*('LEGO Sammlung'!K$2:K$167)*('LEGO Sammlung'!C$2:C$167))</x:f>
        <x:v>0.1431</x:v>
      </x:c>
    </x:row>
    <x:row r="17">
      <x:c r="A17" s="9"/>
      <x:c r="B17" s="9"/>
      <x:c r="C17" s="9"/>
      <x:c r="D17" s="9" t="str">
        <x:v>Straßen / Verkehr</x:v>
      </x:c>
      <x:c r="E17" s="9" t="n">
        <x:f>SUMIF('LEGO Sammlung'!O$2:O$167,D17,'LEGO Sammlung'!C$2:C$167)</x:f>
        <x:v>4</x:v>
      </x:c>
      <x:c r="F17" s="50" t="n">
        <x:f>SUMPRODUCT(('LEGO Sammlung'!O$2:O$167=D17)*('LEGO Sammlung'!K$2:K$167)*('LEGO Sammlung'!C$2:C$167))</x:f>
        <x:v>0.0858</x:v>
      </x:c>
    </x:row>
    <x:row r="18">
      <x:c r="A18" s="9"/>
      <x:c r="B18" s="9"/>
      <x:c r="C18" s="9"/>
      <x:c r="D18" s="9" t="str">
        <x:v>Infrastruktur / flexibel</x:v>
      </x:c>
      <x:c r="E18" s="9" t="n">
        <x:f>SUMIF('LEGO Sammlung'!O$2:O$167,D18,'LEGO Sammlung'!C$2:C$167)</x:f>
        <x:v>82</x:v>
      </x:c>
      <x:c r="F18" s="50" t="n">
        <x:f>SUMPRODUCT(('LEGO Sammlung'!O$2:O$167=D18)*('LEGO Sammlung'!K$2:K$167)*('LEGO Sammlung'!C$2:C$167))</x:f>
        <x:v>6.356992000000001</x:v>
      </x:c>
    </x:row>
    <x:row r="19">
      <x:c r="A19" s="9"/>
      <x:c r="B19" s="9"/>
      <x:c r="C19" s="9"/>
      <x:c r="D19" s="9" t="str">
        <x:v>Ausstellung / flexibel</x:v>
      </x:c>
      <x:c r="E19" s="9" t="n">
        <x:f>SUMIF('LEGO Sammlung'!O$2:O$167,D19,'LEGO Sammlung'!C$2:C$167)</x:f>
        <x:v>6</x:v>
      </x:c>
      <x:c r="F19" s="50" t="n">
        <x:f>SUMPRODUCT(('LEGO Sammlung'!O$2:O$167=D19)*('LEGO Sammlung'!K$2:K$167)*('LEGO Sammlung'!C$2:C$167))</x:f>
        <x:v>0.0432</x:v>
      </x:c>
    </x:row>
    <x:row r="20">
      <x:c r="A20" s="9"/>
      <x:c r="B20" s="9"/>
      <x:c r="C20" s="9"/>
      <x:c r="D20" s="9" t="str">
        <x:v>Deko / flexibel</x:v>
      </x:c>
      <x:c r="E20" s="9" t="n">
        <x:f>SUMIF('LEGO Sammlung'!O$2:O$167,D20,'LEGO Sammlung'!C$2:C$167)</x:f>
        <x:v>9</x:v>
      </x:c>
      <x:c r="F20" s="50" t="n">
        <x:f>SUMPRODUCT(('LEGO Sammlung'!O$2:O$167=D20)*('LEGO Sammlung'!K$2:K$167)*('LEGO Sammlung'!C$2:C$167))</x:f>
        <x:v>0</x:v>
      </x:c>
    </x:row>
    <x:row r="21">
      <x:c r="A21" s="9"/>
      <x:c r="B21" s="9"/>
      <x:c r="C21" s="9"/>
      <x:c r="D21" s="9" t="str">
        <x:v>Freizeit / Arcade</x:v>
      </x:c>
      <x:c r="E21" s="9" t="n">
        <x:f>SUMIF('LEGO Sammlung'!O$2:O$167,D21,'LEGO Sammlung'!C$2:C$167)</x:f>
        <x:v>2</x:v>
      </x:c>
      <x:c r="F21" s="50" t="n">
        <x:f>SUMPRODUCT(('LEGO Sammlung'!O$2:O$167=D21)*('LEGO Sammlung'!K$2:K$167)*('LEGO Sammlung'!C$2:C$167))</x:f>
        <x:v>0</x:v>
      </x:c>
    </x:row>
    <x:row r="22">
      <x:c r="A22" s="9"/>
      <x:c r="B22" s="9"/>
      <x:c r="C22" s="9"/>
      <x:c r="D22" s="9" t="str">
        <x:v>Innenstadt / Plätze</x:v>
      </x:c>
      <x:c r="E22" s="9" t="n">
        <x:f>SUMIF('LEGO Sammlung'!O$2:O$167,D22,'LEGO Sammlung'!C$2:C$167)</x:f>
        <x:v>3</x:v>
      </x:c>
      <x:c r="F22" s="50" t="n">
        <x:f>SUMPRODUCT(('LEGO Sammlung'!O$2:O$167=D22)*('LEGO Sammlung'!K$2:K$167)*('LEGO Sammlung'!C$2:C$167))</x:f>
        <x:v>0.0285</x:v>
      </x:c>
    </x:row>
    <x:row r="23">
      <x:c r="A23" s="9"/>
      <x:c r="B23" s="9"/>
      <x:c r="C23" s="9"/>
      <x:c r="D23" s="9" t="str">
        <x:v>Landschaft / Randbezirk</x:v>
      </x:c>
      <x:c r="E23" s="9" t="n">
        <x:f>SUMIF('LEGO Sammlung'!O$2:O$167,D23,'LEGO Sammlung'!C$2:C$167)</x:f>
        <x:v>2</x:v>
      </x:c>
      <x:c r="F23" s="50" t="n">
        <x:f>SUMPRODUCT(('LEGO Sammlung'!O$2:O$167=D23)*('LEGO Sammlung'!K$2:K$167)*('LEGO Sammlung'!C$2:C$167))</x:f>
        <x:v>0.1086</x:v>
      </x:c>
    </x:row>
    <x:row r="24">
      <x:c r="A24" s="9"/>
      <x:c r="B24" s="9"/>
      <x:c r="C24" s="9"/>
      <x:c r="D24" s="9" t="str">
        <x:v>Flexibel</x:v>
      </x:c>
      <x:c r="E24" s="9" t="n">
        <x:f>SUMIF('LEGO Sammlung'!O$2:O$167,D24,'LEGO Sammlung'!C$2:C$167)</x:f>
        <x:v>2</x:v>
      </x:c>
      <x:c r="F24" s="50" t="n">
        <x:f>SUMPRODUCT(('LEGO Sammlung'!O$2:O$167=D24)*('LEGO Sammlung'!K$2:K$167)*('LEGO Sammlung'!C$2:C$167))</x:f>
        <x:v>0.0806</x:v>
      </x:c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</x:sheetData>
  <x:mergeCells>
    <x:mergeCell ref="A1:H1"/>
    <x:mergeCell ref="A12:B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4" max="4" width="70" hidden="0" customWidth="1"/>
    <x:col min="5" max="5" width="14" hidden="0" customWidth="1"/>
    <x:col min="3" max="3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56" t="str">
        <x:v>Empfohlener LEGO-Stadtgrundriss – 8 × 6 Module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3">
      <x:c r="A3" s="59" t="str">
        <x:v>Planungsgröße</x:v>
      </x:c>
      <x:c r="B3" s="59" t="str">
        <x:v>Wert</x:v>
      </x:c>
      <x:c r="D3" s="59" t="str">
        <x:v>Kürzel</x:v>
      </x:c>
      <x:c r="E3" s="59" t="str">
        <x:v>Bereich</x:v>
      </x:c>
    </x:row>
    <x:row r="4">
      <x:c r="A4" s="9" t="str">
        <x:v>Modulgröße</x:v>
      </x:c>
      <x:c r="B4" s="9" t="str">
        <x:v>102,4 × 102,4 cm</x:v>
      </x:c>
      <x:c r="D4" s="9" t="str">
        <x:v>W</x:v>
      </x:c>
      <x:c r="E4" s="9" t="str">
        <x:v>Weihnachtsdorf</x:v>
      </x:c>
    </x:row>
    <x:row r="5">
      <x:c r="A5" s="9" t="str">
        <x:v>Außenmaß</x:v>
      </x:c>
      <x:c r="B5" s="9" t="str">
        <x:v>8,192 × 6,144 m</x:v>
      </x:c>
      <x:c r="D5" s="9" t="str">
        <x:v>H</x:v>
      </x:c>
      <x:c r="E5" s="9" t="str">
        <x:v>Hogwarts / Magisches Viertel</x:v>
      </x:c>
    </x:row>
    <x:row r="6">
      <x:c r="A6" s="9" t="str">
        <x:v>Zentraler Bediengang</x:v>
      </x:c>
      <x:c r="B6" s="9" t="str">
        <x:v>4,096 × 2,048 m</x:v>
      </x:c>
      <x:c r="D6" s="9" t="str">
        <x:v>P</x:v>
      </x:c>
      <x:c r="E6" s="9" t="str">
        <x:v>Hafen / Piraten / Küste</x:v>
      </x:c>
    </x:row>
    <x:row r="7">
      <x:c r="A7" s="9" t="str">
        <x:v>Nutzbare Modulfläche</x:v>
      </x:c>
      <x:c r="B7" s="9" t="str">
        <x:v>40 Module</x:v>
      </x:c>
      <x:c r="D7" s="9" t="str">
        <x:v>I</x:v>
      </x:c>
      <x:c r="E7" s="9" t="str">
        <x:v>Innenstadt / Altstadt</x:v>
      </x:c>
    </x:row>
    <x:row r="8">
      <x:c r="A8" s="9" t="str">
        <x:v>Nutzbare Tischfläche</x:v>
      </x:c>
      <x:c r="B8" s="9" t="str">
        <x:v>41,94 m²</x:v>
      </x:c>
      <x:c r="D8" s="9" t="str">
        <x:v>A</x:v>
      </x:c>
      <x:c r="E8" s="9" t="str">
        <x:v>Architecture / Weltpark</x:v>
      </x:c>
    </x:row>
    <x:row r="9">
      <x:c r="A9" s="9" t="str">
        <x:v>Raster</x:v>
      </x:c>
      <x:c r="B9" s="9" t="str">
        <x:v>1 Zelle = 1 Modul = 4 × 4 Baseplates (32×32 Noppen)</x:v>
      </x:c>
      <x:c r="D9" s="9" t="str">
        <x:v>D</x:v>
      </x:c>
      <x:c r="E9" s="9" t="str">
        <x:v>Disney / Springfield / Freizeit</x:v>
      </x:c>
    </x:row>
    <x:row r="10">
      <x:c r="D10" s="9" t="str">
        <x:v>B</x:v>
      </x:c>
      <x:c r="E10" s="9" t="str">
        <x:v>Botanik / Technik / Ausstellung</x:v>
      </x:c>
    </x:row>
    <x:row r="11">
      <x:c r="D11" s="9" t="str">
        <x:v>R</x:v>
      </x:c>
      <x:c r="E11" s="9" t="str">
        <x:v>Hauptbahnhof / Bahn</x:v>
      </x:c>
    </x:row>
    <x:row r="12">
      <x:c r="D12" s="9" t="str">
        <x:v>X</x:v>
      </x:c>
      <x:c r="E12" s="9" t="str">
        <x:v>Bediengang – keine Bebauung</x:v>
      </x:c>
    </x:row>
    <x:row r="14">
      <x:c r="B14" s="60" t="str">
        <x:v>1</x:v>
      </x:c>
      <x:c r="C14" s="60" t="str">
        <x:v>2</x:v>
      </x:c>
      <x:c r="D14" s="60" t="str">
        <x:v>3</x:v>
      </x:c>
      <x:c r="E14" s="60" t="str">
        <x:v>4</x:v>
      </x:c>
      <x:c r="F14" s="60" t="str">
        <x:v>5</x:v>
      </x:c>
      <x:c r="G14" s="60" t="str">
        <x:v>6</x:v>
      </x:c>
      <x:c r="H14" s="60" t="str">
        <x:v>7</x:v>
      </x:c>
      <x:c r="I14" s="60" t="str">
        <x:v>8</x:v>
      </x:c>
    </x:row>
    <x:row r="15" ht="58" customHeight="1">
      <x:c r="A15" s="60" t="str">
        <x:v>1</x:v>
      </x:c>
      <x:c r="B15" s="65" t="str">
        <x:v>W</x:v>
      </x:c>
      <x:c r="C15" s="65" t="str">
        <x:v>W</x:v>
      </x:c>
      <x:c r="D15" s="65" t="str">
        <x:v>W</x:v>
      </x:c>
      <x:c r="E15" s="65" t="str">
        <x:v>W</x:v>
      </x:c>
      <x:c r="F15" s="70" t="str">
        <x:v>H</x:v>
      </x:c>
      <x:c r="G15" s="70" t="str">
        <x:v>H</x:v>
      </x:c>
      <x:c r="H15" s="70" t="str">
        <x:v>H</x:v>
      </x:c>
      <x:c r="I15" s="70" t="str">
        <x:v>H</x:v>
      </x:c>
    </x:row>
    <x:row r="16" ht="58" customHeight="1">
      <x:c r="A16" s="60" t="str">
        <x:v>2</x:v>
      </x:c>
      <x:c r="B16" s="65" t="str">
        <x:v>W</x:v>
      </x:c>
      <x:c r="C16" s="65" t="str">
        <x:v>W</x:v>
      </x:c>
      <x:c r="D16" s="65" t="str">
        <x:v>W</x:v>
      </x:c>
      <x:c r="E16" s="75" t="str">
        <x:v>R</x:v>
      </x:c>
      <x:c r="F16" s="70" t="str">
        <x:v>H</x:v>
      </x:c>
      <x:c r="G16" s="70" t="str">
        <x:v>H</x:v>
      </x:c>
      <x:c r="H16" s="70" t="str">
        <x:v>H</x:v>
      </x:c>
      <x:c r="I16" s="70" t="str">
        <x:v>H</x:v>
      </x:c>
    </x:row>
    <x:row r="17" ht="58" customHeight="1">
      <x:c r="A17" s="60" t="str">
        <x:v>3</x:v>
      </x:c>
      <x:c r="B17" s="80" t="str">
        <x:v>P</x:v>
      </x:c>
      <x:c r="C17" s="80" t="str">
        <x:v>P</x:v>
      </x:c>
      <x:c r="D17" s="85" t="str">
        <x:v>X</x:v>
      </x:c>
      <x:c r="E17" s="85" t="str">
        <x:v>X</x:v>
      </x:c>
      <x:c r="F17" s="85" t="str">
        <x:v>X</x:v>
      </x:c>
      <x:c r="G17" s="85" t="str">
        <x:v>X</x:v>
      </x:c>
      <x:c r="H17" s="90" t="str">
        <x:v>D</x:v>
      </x:c>
      <x:c r="I17" s="90" t="str">
        <x:v>D</x:v>
      </x:c>
    </x:row>
    <x:row r="18" ht="58" customHeight="1">
      <x:c r="A18" s="60" t="str">
        <x:v>4</x:v>
      </x:c>
      <x:c r="B18" s="80" t="str">
        <x:v>P</x:v>
      </x:c>
      <x:c r="C18" s="80" t="str">
        <x:v>P</x:v>
      </x:c>
      <x:c r="D18" s="85" t="str">
        <x:v>X</x:v>
      </x:c>
      <x:c r="E18" s="85" t="str">
        <x:v>X</x:v>
      </x:c>
      <x:c r="F18" s="85" t="str">
        <x:v>X</x:v>
      </x:c>
      <x:c r="G18" s="85" t="str">
        <x:v>X</x:v>
      </x:c>
      <x:c r="H18" s="90" t="str">
        <x:v>D</x:v>
      </x:c>
      <x:c r="I18" s="90" t="str">
        <x:v>D</x:v>
      </x:c>
    </x:row>
    <x:row r="19" ht="58" customHeight="1">
      <x:c r="A19" s="60" t="str">
        <x:v>5</x:v>
      </x:c>
      <x:c r="B19" s="80" t="str">
        <x:v>P</x:v>
      </x:c>
      <x:c r="C19" s="95" t="str">
        <x:v>I</x:v>
      </x:c>
      <x:c r="D19" s="95" t="str">
        <x:v>I</x:v>
      </x:c>
      <x:c r="E19" s="95" t="str">
        <x:v>I</x:v>
      </x:c>
      <x:c r="F19" s="100" t="str">
        <x:v>A</x:v>
      </x:c>
      <x:c r="G19" s="100" t="str">
        <x:v>A</x:v>
      </x:c>
      <x:c r="H19" s="105" t="str">
        <x:v>B</x:v>
      </x:c>
      <x:c r="I19" s="105" t="str">
        <x:v>B</x:v>
      </x:c>
    </x:row>
    <x:row r="20" ht="58" customHeight="1">
      <x:c r="A20" s="60" t="str">
        <x:v>6</x:v>
      </x:c>
      <x:c r="B20" s="80" t="str">
        <x:v>P</x:v>
      </x:c>
      <x:c r="C20" s="95" t="str">
        <x:v>I</x:v>
      </x:c>
      <x:c r="D20" s="95" t="str">
        <x:v>I</x:v>
      </x:c>
      <x:c r="E20" s="95" t="str">
        <x:v>I</x:v>
      </x:c>
      <x:c r="F20" s="100" t="str">
        <x:v>A</x:v>
      </x:c>
      <x:c r="G20" s="100" t="str">
        <x:v>A</x:v>
      </x:c>
      <x:c r="H20" s="105" t="str">
        <x:v>B</x:v>
      </x:c>
      <x:c r="I20" s="105" t="str">
        <x:v>B</x:v>
      </x:c>
    </x:row>
    <x:row r="22">
      <x:c r="A22" s="59" t="str">
        <x:v>Bereich</x:v>
      </x:c>
      <x:c r="B22" s="59" t="str">
        <x:v>Module</x:v>
      </x:c>
      <x:c r="C22" s="59" t="str">
        <x:v>ca. Fläche</x:v>
      </x:c>
      <x:c r="D22" s="59" t="str">
        <x:v>Planungsinhalt</x:v>
      </x:c>
      <x:c r="E22" t="str"/>
      <x:c r="F22" t="str"/>
      <x:c r="G22" t="str"/>
      <x:c r="H22" t="str"/>
      <x:c r="I22" t="str"/>
      <x:c r="J22" t="str"/>
    </x:row>
    <x:row r="23">
      <x:c r="A23" s="9" t="str">
        <x:v>Weihnachtsdorf</x:v>
      </x:c>
      <x:c r="B23" s="9" t="n">
        <x:v>7</x:v>
      </x:c>
      <x:c r="C23" s="9" t="str">
        <x:v>7,34 m²</x:v>
      </x:c>
      <x:c r="D23" s="9" t="str">
        <x:v>Winter Village, 10259 Bahnhof, 10254 Zug, Weihnachtsmarkt und Schnee-Landschaft</x:v>
      </x:c>
      <x:c r="E23" t="str"/>
      <x:c r="F23" t="str"/>
      <x:c r="G23" t="str"/>
      <x:c r="H23" t="str"/>
      <x:c r="I23" t="str"/>
      <x:c r="J23" t="str"/>
    </x:row>
    <x:row r="24">
      <x:c r="A24" s="9" t="str">
        <x:v>Hogwarts / Magisches Viertel</x:v>
      </x:c>
      <x:c r="B24" s="9" t="n">
        <x:v>8</x:v>
      </x:c>
      <x:c r="C24" s="9" t="str">
        <x:v>8,39 m²</x:v>
      </x:c>
      <x:c r="D24" s="9" t="str">
        <x:v>Winkelgasse, Hogwarts, Hogsmeade, Fuchsbau und weitere Harry-Potter-Sets</x:v>
      </x:c>
      <x:c r="E24" t="str"/>
      <x:c r="F24" t="str"/>
      <x:c r="G24" t="str"/>
      <x:c r="H24" t="str"/>
      <x:c r="I24" t="str"/>
      <x:c r="J24" t="str"/>
    </x:row>
    <x:row r="25">
      <x:c r="A25" s="9" t="str">
        <x:v>Hafen / Piraten</x:v>
      </x:c>
      <x:c r="B25" s="9" t="n">
        <x:v>6</x:v>
      </x:c>
      <x:c r="C25" s="9" t="str">
        <x:v>6,29 m²</x:v>
      </x:c>
      <x:c r="D25" s="9" t="str">
        <x:v>Eldorado-Festung, Leuchtturm, Alter Angelladen, Wasserfläche, Kai und Schiffe</x:v>
      </x:c>
      <x:c r="E25" t="str"/>
      <x:c r="F25" t="str"/>
      <x:c r="G25" t="str"/>
      <x:c r="H25" t="str"/>
      <x:c r="I25" t="str"/>
      <x:c r="J25" t="str"/>
    </x:row>
    <x:row r="26">
      <x:c r="A26" s="9" t="str">
        <x:v>Innenstadt / Altstadt</x:v>
      </x:c>
      <x:c r="B26" s="9" t="n">
        <x:v>6</x:v>
      </x:c>
      <x:c r="C26" s="9" t="str">
        <x:v>6,29 m²</x:v>
      </x:c>
      <x:c r="D26" s="9" t="str">
        <x:v>Modular Buildings, Tower Bridge als Landmarke, Straßen und Plätze</x:v>
      </x:c>
      <x:c r="E26" t="str"/>
      <x:c r="F26" t="str"/>
      <x:c r="G26" t="str"/>
      <x:c r="H26" t="str"/>
      <x:c r="I26" t="str"/>
      <x:c r="J26" t="str"/>
    </x:row>
    <x:row r="27">
      <x:c r="A27" s="9" t="str">
        <x:v>Restliche Themen</x:v>
      </x:c>
      <x:c r="B27" s="9" t="n">
        <x:v>13</x:v>
      </x:c>
      <x:c r="C27" s="9" t="str">
        <x:v>13,63 m²</x:v>
      </x:c>
      <x:c r="D27" s="9" t="str">
        <x:v>Architecture/Weltpark, Disney/Springfield, Botanik/Technik und Ausstellung</x:v>
      </x:c>
      <x:c r="E27" t="str"/>
      <x:c r="F27" t="str"/>
      <x:c r="G27" t="str"/>
      <x:c r="H27" t="str"/>
      <x:c r="I27" t="str"/>
      <x:c r="J27" t="str"/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>
      <x:c r="A1" s="55" t="str">
        <x:v>Gleisplan – Konzeptstufe 1</x:v>
      </x:c>
      <x:c r="B1" s="55"/>
      <x:c r="C1" s="55"/>
      <x:c r="D1" s="55"/>
      <x:c r="E1" s="55"/>
      <x:c r="F1" s="55"/>
      <x:c r="G1" s="55"/>
      <x:c r="H1" s="55"/>
      <x:c r="I1" s="55"/>
      <x:c r="J1" s="55"/>
    </x:row>
    <x:row r="3">
      <x:c r="A3" s="59" t="str">
        <x:v>Element</x:v>
      </x:c>
      <x:c r="B3" s="59" t="str">
        <x:v>Plan</x:v>
      </x:c>
    </x:row>
    <x:row r="4">
      <x:c r="A4" s="9" t="str">
        <x:v>Hauptstrecke</x:v>
      </x:c>
      <x:c r="B4" s="9" t="str">
        <x:v>1 geschlossener Rundkurs um den zentralen Bediengang</x:v>
      </x:c>
    </x:row>
    <x:row r="5">
      <x:c r="A5" s="9" t="str">
        <x:v>Bahnhof</x:v>
      </x:c>
      <x:c r="B5" s="9" t="str">
        <x:v>Nordseite im Übergang Weihnachtsdorf / Innenstadt</x:v>
      </x:c>
    </x:row>
    <x:row r="6">
      <x:c r="A6" s="9" t="str">
        <x:v>Abzweig 1</x:v>
      </x:c>
      <x:c r="B6" s="9" t="str">
        <x:v>Winterdorf / 10259 Winterlicher Bahnhof</x:v>
      </x:c>
    </x:row>
    <x:row r="7">
      <x:c r="A7" s="9" t="str">
        <x:v>Abzweig 2</x:v>
      </x:c>
      <x:c r="B7" s="9" t="str">
        <x:v>Hafen-Güter-/Kaianschluss</x:v>
      </x:c>
    </x:row>
    <x:row r="8">
      <x:c r="A8" s="9" t="str">
        <x:v>Zug 1</x:v>
      </x:c>
      <x:c r="B8" s="9" t="str">
        <x:v>60051 Hochgeschwindigkeitszug</x:v>
      </x:c>
    </x:row>
    <x:row r="9">
      <x:c r="A9" s="9" t="str">
        <x:v>Zug 2</x:v>
      </x:c>
      <x:c r="B9" s="9" t="str">
        <x:v>10254 Festlicher Weihnachtszug</x:v>
      </x:c>
    </x:row>
    <x:row r="10">
      <x:c r="A10" s="9" t="str">
        <x:v>Hinweis</x:v>
      </x:c>
      <x:c r="B10" s="9" t="str">
        <x:v>Der bestätigte Bestand 60205 + 60238 reicht für diesen großen Rundkurs sehr wahrscheinlich nicht aus; Zusatzgleise werden eingeplant.</x:v>
      </x:c>
    </x:row>
    <x:row r="14" ht="42" customHeight="1">
      <x:c r="B14" s="125" t="str">
        <x:v>╔</x:v>
      </x:c>
      <x:c r="C14" s="126" t="str">
        <x:v>═</x:v>
      </x:c>
      <x:c r="D14" s="126" t="str">
        <x:v>═</x:v>
      </x:c>
      <x:c r="E14" s="126" t="str">
        <x:v>═</x:v>
      </x:c>
      <x:c r="F14" s="126" t="str">
        <x:v>═</x:v>
      </x:c>
      <x:c r="G14" s="126" t="str">
        <x:v>═</x:v>
      </x:c>
      <x:c r="H14" s="126" t="str">
        <x:v>═</x:v>
      </x:c>
      <x:c r="I14" s="127" t="str">
        <x:v>╗</x:v>
      </x:c>
    </x:row>
    <x:row r="15" ht="42" customHeight="1">
      <x:c r="B15" s="128" t="str">
        <x:v>║</x:v>
      </x:c>
      <x:c r="C15" s="129" t="str">
        <x:v>W</x:v>
      </x:c>
      <x:c r="D15" s="129" t="str">
        <x:v>W</x:v>
      </x:c>
      <x:c r="E15" s="129" t="str">
        <x:v>BH</x:v>
      </x:c>
      <x:c r="F15" s="129" t="str">
        <x:v>H</x:v>
      </x:c>
      <x:c r="G15" s="129" t="str">
        <x:v>H</x:v>
      </x:c>
      <x:c r="H15" s="129" t="str">
        <x:v>H</x:v>
      </x:c>
      <x:c r="I15" s="130" t="str">
        <x:v>║</x:v>
      </x:c>
    </x:row>
    <x:row r="16" ht="42" customHeight="1">
      <x:c r="B16" s="128" t="str">
        <x:v>║</x:v>
      </x:c>
      <x:c r="C16" s="129" t="str">
        <x:v>P</x:v>
      </x:c>
      <x:c r="D16" s="129" t="str">
        <x:v>┌</x:v>
      </x:c>
      <x:c r="E16" s="129" t="str">
        <x:v>═</x:v>
      </x:c>
      <x:c r="F16" s="129" t="str">
        <x:v>═</x:v>
      </x:c>
      <x:c r="G16" s="129" t="str">
        <x:v>┐</x:v>
      </x:c>
      <x:c r="H16" s="129" t="str">
        <x:v>D</x:v>
      </x:c>
      <x:c r="I16" s="130" t="str">
        <x:v>║</x:v>
      </x:c>
    </x:row>
    <x:row r="17" ht="42" customHeight="1">
      <x:c r="B17" s="128" t="str">
        <x:v>║</x:v>
      </x:c>
      <x:c r="C17" s="129" t="str">
        <x:v>P</x:v>
      </x:c>
      <x:c r="D17" s="129" t="str">
        <x:v>└</x:v>
      </x:c>
      <x:c r="E17" s="129" t="str">
        <x:v>═</x:v>
      </x:c>
      <x:c r="F17" s="129" t="str">
        <x:v>═</x:v>
      </x:c>
      <x:c r="G17" s="129" t="str">
        <x:v>┘</x:v>
      </x:c>
      <x:c r="H17" s="129" t="str">
        <x:v>D</x:v>
      </x:c>
      <x:c r="I17" s="130" t="str">
        <x:v>║</x:v>
      </x:c>
    </x:row>
    <x:row r="18" ht="42" customHeight="1">
      <x:c r="B18" s="128" t="str">
        <x:v>║</x:v>
      </x:c>
      <x:c r="C18" s="129" t="str">
        <x:v>I</x:v>
      </x:c>
      <x:c r="D18" s="129" t="str">
        <x:v>I</x:v>
      </x:c>
      <x:c r="E18" s="129" t="str">
        <x:v>I</x:v>
      </x:c>
      <x:c r="F18" s="129" t="str">
        <x:v>A</x:v>
      </x:c>
      <x:c r="G18" s="129" t="str">
        <x:v>A</x:v>
      </x:c>
      <x:c r="H18" s="129" t="str">
        <x:v>B</x:v>
      </x:c>
      <x:c r="I18" s="130" t="str">
        <x:v>║</x:v>
      </x:c>
    </x:row>
    <x:row r="19" ht="42" customHeight="1">
      <x:c r="B19" s="131" t="str">
        <x:v>╚</x:v>
      </x:c>
      <x:c r="C19" s="132" t="str">
        <x:v>═</x:v>
      </x:c>
      <x:c r="D19" s="132" t="str">
        <x:v>═</x:v>
      </x:c>
      <x:c r="E19" s="132" t="str">
        <x:v>═</x:v>
      </x:c>
      <x:c r="F19" s="132" t="str">
        <x:v>═</x:v>
      </x:c>
      <x:c r="G19" s="132" t="str">
        <x:v>═</x:v>
      </x:c>
      <x:c r="H19" s="132" t="str">
        <x:v>═</x:v>
      </x:c>
      <x:c r="I19" s="133" t="str">
        <x:v>╝</x:v>
      </x:c>
    </x:row>
    <x:row r="21">
      <x:c r="A21" s="59" t="str">
        <x:v>Kürzel</x:v>
      </x:c>
      <x:c r="B21" s="59" t="str">
        <x:v>Bedeutung</x:v>
      </x:c>
    </x:row>
    <x:row r="22">
      <x:c r="A22" s="9" t="str">
        <x:v>═ ║ ╔ ╗ ╚ ╝</x:v>
      </x:c>
      <x:c r="B22" s="9" t="str">
        <x:v>Hauptstrecke – schematisch</x:v>
      </x:c>
    </x:row>
    <x:row r="23">
      <x:c r="A23" s="9" t="str">
        <x:v>┌ ┐ └ ┘</x:v>
      </x:c>
      <x:c r="B23" s="9" t="str">
        <x:v>innerer Bediengang / mögliche zweite Trasse</x:v>
      </x:c>
    </x:row>
    <x:row r="24">
      <x:c r="A24" s="9" t="str">
        <x:v>BH</x:v>
      </x:c>
      <x:c r="B24" s="9" t="str">
        <x:v>Hauptbahnhof</x:v>
      </x:c>
    </x:row>
    <x:row r="25">
      <x:c r="A25" s="9" t="str">
        <x:v>W</x:v>
      </x:c>
      <x:c r="B25" s="9" t="str">
        <x:v>Weihnachtsdorf</x:v>
      </x:c>
    </x:row>
    <x:row r="26">
      <x:c r="A26" s="9" t="str">
        <x:v>P</x:v>
      </x:c>
      <x:c r="B26" s="9" t="str">
        <x:v>Hafen/Piraten</x:v>
      </x:c>
    </x:row>
    <x:row r="27">
      <x:c r="A27" s="9" t="str">
        <x:v>H/D/I/A/B</x:v>
      </x:c>
      <x:c r="B27" s="9" t="str">
        <x:v>übrige Themenbereiche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22" hidden="0" customWidth="1"/>
    <x:col min="9" max="9" width="18" hidden="0" customWidth="1"/>
    <x:col min="10" max="10" width="16" hidden="0" customWidth="1"/>
    <x:col min="11" max="11" width="14" hidden="0" customWidth="1"/>
    <x:col min="12" max="12" width="14" hidden="0" customWidth="1"/>
  </x:cols>
  <x:sheetData>
    <x:row r="1">
      <x:c r="A1" s="55" t="str">
        <x:v>Modul- und Tischplan</x:v>
      </x:c>
      <x:c r="B1" s="55"/>
      <x:c r="C1" s="55"/>
      <x:c r="D1" s="55"/>
      <x:c r="E1" s="55"/>
      <x:c r="F1" s="55"/>
      <x:c r="G1" s="55"/>
      <x:c r="H1" s="55"/>
    </x:row>
    <x:row r="3">
      <x:c r="A3" s="59" t="str">
        <x:v>Modul-ID</x:v>
      </x:c>
      <x:c r="B3" s="59" t="str">
        <x:v>Raster</x:v>
      </x:c>
      <x:c r="C3" s="59" t="str">
        <x:v>Bereich</x:v>
      </x:c>
      <x:c r="D3" s="59" t="str">
        <x:v>Breite cm</x:v>
      </x:c>
      <x:c r="E3" s="59" t="str">
        <x:v>Tiefe cm</x:v>
      </x:c>
      <x:c r="F3" s="59" t="str">
        <x:v>Baseplates</x:v>
      </x:c>
      <x:c r="G3" s="59" t="str">
        <x:v>Zugang</x:v>
      </x:c>
      <x:c r="H3" s="59" t="str">
        <x:v>Hinweis</x:v>
      </x:c>
      <x:c r="I3" s="144" t="str">
        <x:v>zugew. Exemplare</x:v>
      </x:c>
      <x:c r="J3" s="144" t="str">
        <x:v>Planfläche m²</x:v>
      </x:c>
      <x:c r="K3" s="144" t="str">
        <x:v>Belegung %</x:v>
      </x:c>
      <x:c r="L3" s="144" t="str">
        <x:v>Status</x:v>
      </x:c>
    </x:row>
    <x:row r="4">
      <x:c r="A4" s="9" t="str">
        <x:v>M01</x:v>
      </x:c>
      <x:c r="B4" s="9" t="str">
        <x:v>1/1</x:v>
      </x:c>
      <x:c r="C4" s="9" t="str">
        <x:v>Weihnachtsdorf</x:v>
      </x:c>
      <x:c r="D4" s="9" t="n">
        <x:v>102.4</x:v>
      </x:c>
      <x:c r="E4" s="9" t="n">
        <x:v>102.4</x:v>
      </x:c>
      <x:c r="F4" s="9" t="str">
        <x:v>4×4 = 16</x:v>
      </x:c>
      <x:c r="G4" s="9" t="str">
        <x:v>Außen</x:v>
      </x:c>
      <x:c r="H4" s="9" t="str">
        <x:v>1 Modul = 1,0486 m²</x:v>
      </x:c>
      <x:c r="I4" t="n">
        <x:v>11</x:v>
      </x:c>
      <x:c r="J4" t="n">
        <x:v>0.5298</x:v>
      </x:c>
      <x:c r="K4" s="146" t="n">
        <x:v>0.5052</x:v>
      </x:c>
      <x:c r="L4" t="str">
        <x:v>gut</x:v>
      </x:c>
    </x:row>
    <x:row r="5">
      <x:c r="A5" s="9" t="str">
        <x:v>M02</x:v>
      </x:c>
      <x:c r="B5" s="9" t="str">
        <x:v>1/2</x:v>
      </x:c>
      <x:c r="C5" s="9" t="str">
        <x:v>Weihnachtsdorf</x:v>
      </x:c>
      <x:c r="D5" s="9" t="n">
        <x:v>102.4</x:v>
      </x:c>
      <x:c r="E5" s="9" t="n">
        <x:v>102.4</x:v>
      </x:c>
      <x:c r="F5" s="9" t="str">
        <x:v>4×4 = 16</x:v>
      </x:c>
      <x:c r="G5" s="9" t="str">
        <x:v>Außen</x:v>
      </x:c>
      <x:c r="H5" s="9" t="str">
        <x:v>1 Modul = 1,0486 m²</x:v>
      </x:c>
      <x:c r="I5" t="n">
        <x:v>8</x:v>
      </x:c>
      <x:c r="J5" t="n">
        <x:v>0.5121</x:v>
      </x:c>
      <x:c r="K5" s="146" t="n">
        <x:v>0.4884</x:v>
      </x:c>
      <x:c r="L5" t="str">
        <x:v>gut</x:v>
      </x:c>
    </x:row>
    <x:row r="6">
      <x:c r="A6" s="9" t="str">
        <x:v>M03</x:v>
      </x:c>
      <x:c r="B6" s="9" t="str">
        <x:v>1/3</x:v>
      </x:c>
      <x:c r="C6" s="9" t="str">
        <x:v>Weihnachtsdorf</x:v>
      </x:c>
      <x:c r="D6" s="9" t="n">
        <x:v>102.4</x:v>
      </x:c>
      <x:c r="E6" s="9" t="n">
        <x:v>102.4</x:v>
      </x:c>
      <x:c r="F6" s="9" t="str">
        <x:v>4×4 = 16</x:v>
      </x:c>
      <x:c r="G6" s="9" t="str">
        <x:v>Außen</x:v>
      </x:c>
      <x:c r="H6" s="9" t="str">
        <x:v>1 Modul = 1,0486 m²</x:v>
      </x:c>
      <x:c r="I6" t="n">
        <x:v>10</x:v>
      </x:c>
      <x:c r="J6" t="n">
        <x:v>0.4807</x:v>
      </x:c>
      <x:c r="K6" s="146" t="n">
        <x:v>0.4585</x:v>
      </x:c>
      <x:c r="L6" t="str">
        <x:v>gut</x:v>
      </x:c>
    </x:row>
    <x:row r="7">
      <x:c r="A7" s="9" t="str">
        <x:v>M04</x:v>
      </x:c>
      <x:c r="B7" s="9" t="str">
        <x:v>1/4</x:v>
      </x:c>
      <x:c r="C7" s="9" t="str">
        <x:v>Weihnachtsdorf</x:v>
      </x:c>
      <x:c r="D7" s="9" t="n">
        <x:v>102.4</x:v>
      </x:c>
      <x:c r="E7" s="9" t="n">
        <x:v>102.4</x:v>
      </x:c>
      <x:c r="F7" s="9" t="str">
        <x:v>4×4 = 16</x:v>
      </x:c>
      <x:c r="G7" s="9" t="str">
        <x:v>Außen</x:v>
      </x:c>
      <x:c r="H7" s="9" t="str">
        <x:v>1 Modul = 1,0486 m²</x:v>
      </x:c>
      <x:c r="I7" t="n">
        <x:v>10</x:v>
      </x:c>
      <x:c r="J7" t="n">
        <x:v>0.5277</x:v>
      </x:c>
      <x:c r="K7" s="146" t="n">
        <x:v>0.5032</x:v>
      </x:c>
      <x:c r="L7" t="str">
        <x:v>gut</x:v>
      </x:c>
    </x:row>
    <x:row r="8">
      <x:c r="A8" s="9" t="str">
        <x:v>M05</x:v>
      </x:c>
      <x:c r="B8" s="9" t="str">
        <x:v>1/5</x:v>
      </x:c>
      <x:c r="C8" s="9" t="str">
        <x:v>Hogwarts / Magisches Viertel</x:v>
      </x:c>
      <x:c r="D8" s="9" t="n">
        <x:v>102.4</x:v>
      </x:c>
      <x:c r="E8" s="9" t="n">
        <x:v>102.4</x:v>
      </x:c>
      <x:c r="F8" s="9" t="str">
        <x:v>4×4 = 16</x:v>
      </x:c>
      <x:c r="G8" s="9" t="str">
        <x:v>Außen</x:v>
      </x:c>
      <x:c r="H8" s="9" t="str">
        <x:v>1 Modul = 1,0486 m²</x:v>
      </x:c>
      <x:c r="I8" t="n">
        <x:v>2</x:v>
      </x:c>
      <x:c r="J8" t="n">
        <x:v>0.2652</x:v>
      </x:c>
      <x:c r="K8" s="146" t="n">
        <x:v>0.2529</x:v>
      </x:c>
      <x:c r="L8" t="str">
        <x:v>gut</x:v>
      </x:c>
    </x:row>
    <x:row r="9">
      <x:c r="A9" s="9" t="str">
        <x:v>M06</x:v>
      </x:c>
      <x:c r="B9" s="9" t="str">
        <x:v>1/6</x:v>
      </x:c>
      <x:c r="C9" s="9" t="str">
        <x:v>Hogwarts / Magisches Viertel</x:v>
      </x:c>
      <x:c r="D9" s="9" t="n">
        <x:v>102.4</x:v>
      </x:c>
      <x:c r="E9" s="9" t="n">
        <x:v>102.4</x:v>
      </x:c>
      <x:c r="F9" s="9" t="str">
        <x:v>4×4 = 16</x:v>
      </x:c>
      <x:c r="G9" s="9" t="str">
        <x:v>Außen</x:v>
      </x:c>
      <x:c r="H9" s="9" t="str">
        <x:v>1 Modul = 1,0486 m²</x:v>
      </x:c>
      <x:c r="I9" t="n">
        <x:v>4</x:v>
      </x:c>
      <x:c r="J9" t="n">
        <x:v>0.1692</x:v>
      </x:c>
      <x:c r="K9" s="146" t="n">
        <x:v>0.1614</x:v>
      </x:c>
      <x:c r="L9" t="str">
        <x:v>gut</x:v>
      </x:c>
    </x:row>
    <x:row r="10">
      <x:c r="A10" s="9" t="str">
        <x:v>M07</x:v>
      </x:c>
      <x:c r="B10" s="9" t="str">
        <x:v>1/7</x:v>
      </x:c>
      <x:c r="C10" s="9" t="str">
        <x:v>Hogwarts / Magisches Viertel</x:v>
      </x:c>
      <x:c r="D10" s="9" t="n">
        <x:v>102.4</x:v>
      </x:c>
      <x:c r="E10" s="9" t="n">
        <x:v>102.4</x:v>
      </x:c>
      <x:c r="F10" s="9" t="str">
        <x:v>4×4 = 16</x:v>
      </x:c>
      <x:c r="G10" s="9" t="str">
        <x:v>Außen</x:v>
      </x:c>
      <x:c r="H10" s="9" t="str">
        <x:v>1 Modul = 1,0486 m²</x:v>
      </x:c>
      <x:c r="I10" t="n">
        <x:v>4</x:v>
      </x:c>
      <x:c r="J10" t="n">
        <x:v>0.1558</x:v>
      </x:c>
      <x:c r="K10" s="146" t="n">
        <x:v>0.1486</x:v>
      </x:c>
      <x:c r="L10" t="str">
        <x:v>gut</x:v>
      </x:c>
    </x:row>
    <x:row r="11">
      <x:c r="A11" s="9" t="str">
        <x:v>M08</x:v>
      </x:c>
      <x:c r="B11" s="9" t="str">
        <x:v>1/8</x:v>
      </x:c>
      <x:c r="C11" s="9" t="str">
        <x:v>Hogwarts / Magisches Viertel</x:v>
      </x:c>
      <x:c r="D11" s="9" t="n">
        <x:v>102.4</x:v>
      </x:c>
      <x:c r="E11" s="9" t="n">
        <x:v>102.4</x:v>
      </x:c>
      <x:c r="F11" s="9" t="str">
        <x:v>4×4 = 16</x:v>
      </x:c>
      <x:c r="G11" s="9" t="str">
        <x:v>Außen</x:v>
      </x:c>
      <x:c r="H11" s="9" t="str">
        <x:v>1 Modul = 1,0486 m²</x:v>
      </x:c>
      <x:c r="I11" t="n">
        <x:v>4</x:v>
      </x:c>
      <x:c r="J11" t="n">
        <x:v>0.195</x:v>
      </x:c>
      <x:c r="K11" s="146" t="n">
        <x:v>0.186</x:v>
      </x:c>
      <x:c r="L11" t="str">
        <x:v>gut</x:v>
      </x:c>
    </x:row>
    <x:row r="12">
      <x:c r="A12" s="9" t="str">
        <x:v>M09</x:v>
      </x:c>
      <x:c r="B12" s="9" t="str">
        <x:v>2/1</x:v>
      </x:c>
      <x:c r="C12" s="9" t="str">
        <x:v>Weihnachtsdorf</x:v>
      </x:c>
      <x:c r="D12" s="9" t="n">
        <x:v>102.4</x:v>
      </x:c>
      <x:c r="E12" s="9" t="n">
        <x:v>102.4</x:v>
      </x:c>
      <x:c r="F12" s="9" t="str">
        <x:v>4×4 = 16</x:v>
      </x:c>
      <x:c r="G12" s="9" t="str">
        <x:v>Außen</x:v>
      </x:c>
      <x:c r="H12" s="9" t="str">
        <x:v>1 Modul = 1,0486 m²</x:v>
      </x:c>
      <x:c r="I12" t="n">
        <x:v>10</x:v>
      </x:c>
      <x:c r="J12" t="n">
        <x:v>0.5153</x:v>
      </x:c>
      <x:c r="K12" s="146" t="n">
        <x:v>0.4915</x:v>
      </x:c>
      <x:c r="L12" t="str">
        <x:v>gut</x:v>
      </x:c>
    </x:row>
    <x:row r="13">
      <x:c r="A13" s="9" t="str">
        <x:v>M10</x:v>
      </x:c>
      <x:c r="B13" s="9" t="str">
        <x:v>2/2</x:v>
      </x:c>
      <x:c r="C13" s="9" t="str">
        <x:v>Weihnachtsdorf</x:v>
      </x:c>
      <x:c r="D13" s="9" t="n">
        <x:v>102.4</x:v>
      </x:c>
      <x:c r="E13" s="9" t="n">
        <x:v>102.4</x:v>
      </x:c>
      <x:c r="F13" s="9" t="str">
        <x:v>4×4 = 16</x:v>
      </x:c>
      <x:c r="G13" s="9" t="str">
        <x:v>seitlich</x:v>
      </x:c>
      <x:c r="H13" s="9" t="str">
        <x:v>1 Modul = 1,0486 m²</x:v>
      </x:c>
      <x:c r="I13" t="n">
        <x:v>10</x:v>
      </x:c>
      <x:c r="J13" t="n">
        <x:v>0.4987</x:v>
      </x:c>
      <x:c r="K13" s="146" t="n">
        <x:v>0.4756</x:v>
      </x:c>
      <x:c r="L13" t="str">
        <x:v>gut</x:v>
      </x:c>
    </x:row>
    <x:row r="14">
      <x:c r="A14" s="9" t="str">
        <x:v>M11</x:v>
      </x:c>
      <x:c r="B14" s="9" t="str">
        <x:v>2/3</x:v>
      </x:c>
      <x:c r="C14" s="9" t="str">
        <x:v>Weihnachtsdorf</x:v>
      </x:c>
      <x:c r="D14" s="9" t="n">
        <x:v>102.4</x:v>
      </x:c>
      <x:c r="E14" s="9" t="n">
        <x:v>102.4</x:v>
      </x:c>
      <x:c r="F14" s="9" t="str">
        <x:v>4×4 = 16</x:v>
      </x:c>
      <x:c r="G14" s="9" t="str">
        <x:v>Innen</x:v>
      </x:c>
      <x:c r="H14" s="9" t="str">
        <x:v>1 Modul = 1,0486 m²</x:v>
      </x:c>
      <x:c r="I14" t="n">
        <x:v>10</x:v>
      </x:c>
      <x:c r="J14" t="n">
        <x:v>0.4981</x:v>
      </x:c>
      <x:c r="K14" s="146" t="n">
        <x:v>0.475</x:v>
      </x:c>
      <x:c r="L14" t="str">
        <x:v>gut</x:v>
      </x:c>
    </x:row>
    <x:row r="15">
      <x:c r="A15" s="9" t="str">
        <x:v>M12</x:v>
      </x:c>
      <x:c r="B15" s="9" t="str">
        <x:v>2/4</x:v>
      </x:c>
      <x:c r="C15" s="9" t="str">
        <x:v>Hauptbahnhof / Bahn</x:v>
      </x:c>
      <x:c r="D15" s="9" t="n">
        <x:v>102.4</x:v>
      </x:c>
      <x:c r="E15" s="9" t="n">
        <x:v>102.4</x:v>
      </x:c>
      <x:c r="F15" s="9" t="str">
        <x:v>4×4 = 16</x:v>
      </x:c>
      <x:c r="G15" s="9" t="str">
        <x:v>Innen</x:v>
      </x:c>
      <x:c r="H15" s="9" t="str">
        <x:v>1 Modul = 1,0486 m²</x:v>
      </x:c>
      <x:c r="I15" t="n">
        <x:v>7</x:v>
      </x:c>
      <x:c r="J15" t="n">
        <x:v>0.4815</x:v>
      </x:c>
      <x:c r="K15" s="146" t="n">
        <x:v>0.4592</x:v>
      </x:c>
      <x:c r="L15" t="str">
        <x:v>gut</x:v>
      </x:c>
    </x:row>
    <x:row r="16">
      <x:c r="A16" s="9" t="str">
        <x:v>M13</x:v>
      </x:c>
      <x:c r="B16" s="9" t="str">
        <x:v>2/5</x:v>
      </x:c>
      <x:c r="C16" s="9" t="str">
        <x:v>Hogwarts / Magisches Viertel</x:v>
      </x:c>
      <x:c r="D16" s="9" t="n">
        <x:v>102.4</x:v>
      </x:c>
      <x:c r="E16" s="9" t="n">
        <x:v>102.4</x:v>
      </x:c>
      <x:c r="F16" s="9" t="str">
        <x:v>4×4 = 16</x:v>
      </x:c>
      <x:c r="G16" s="9" t="str">
        <x:v>Innen</x:v>
      </x:c>
      <x:c r="H16" s="9" t="str">
        <x:v>1 Modul = 1,0486 m²</x:v>
      </x:c>
      <x:c r="I16" t="n">
        <x:v>3</x:v>
      </x:c>
      <x:c r="J16" t="n">
        <x:v>0.1908</x:v>
      </x:c>
      <x:c r="K16" s="146" t="n">
        <x:v>0.182</x:v>
      </x:c>
      <x:c r="L16" t="str">
        <x:v>gut</x:v>
      </x:c>
    </x:row>
    <x:row r="17">
      <x:c r="A17" s="9" t="str">
        <x:v>M14</x:v>
      </x:c>
      <x:c r="B17" s="9" t="str">
        <x:v>2/6</x:v>
      </x:c>
      <x:c r="C17" s="9" t="str">
        <x:v>Hogwarts / Magisches Viertel</x:v>
      </x:c>
      <x:c r="D17" s="9" t="n">
        <x:v>102.4</x:v>
      </x:c>
      <x:c r="E17" s="9" t="n">
        <x:v>102.4</x:v>
      </x:c>
      <x:c r="F17" s="9" t="str">
        <x:v>4×4 = 16</x:v>
      </x:c>
      <x:c r="G17" s="9" t="str">
        <x:v>Innen</x:v>
      </x:c>
      <x:c r="H17" s="9" t="str">
        <x:v>1 Modul = 1,0486 m²</x:v>
      </x:c>
      <x:c r="I17" t="n">
        <x:v>3</x:v>
      </x:c>
      <x:c r="J17" t="n">
        <x:v>0.1575</x:v>
      </x:c>
      <x:c r="K17" s="146" t="n">
        <x:v>0.1502</x:v>
      </x:c>
      <x:c r="L17" t="str">
        <x:v>gut</x:v>
      </x:c>
    </x:row>
    <x:row r="18">
      <x:c r="A18" s="9" t="str">
        <x:v>M15</x:v>
      </x:c>
      <x:c r="B18" s="9" t="str">
        <x:v>2/7</x:v>
      </x:c>
      <x:c r="C18" s="9" t="str">
        <x:v>Hogwarts / Magisches Viertel</x:v>
      </x:c>
      <x:c r="D18" s="9" t="n">
        <x:v>102.4</x:v>
      </x:c>
      <x:c r="E18" s="9" t="n">
        <x:v>102.4</x:v>
      </x:c>
      <x:c r="F18" s="9" t="str">
        <x:v>4×4 = 16</x:v>
      </x:c>
      <x:c r="G18" s="9" t="str">
        <x:v>seitlich</x:v>
      </x:c>
      <x:c r="H18" s="9" t="str">
        <x:v>1 Modul = 1,0486 m²</x:v>
      </x:c>
      <x:c r="I18" t="n">
        <x:v>3</x:v>
      </x:c>
      <x:c r="J18" t="n">
        <x:v>0.15</x:v>
      </x:c>
      <x:c r="K18" s="146" t="n">
        <x:v>0.1431</x:v>
      </x:c>
      <x:c r="L18" t="str">
        <x:v>gut</x:v>
      </x:c>
    </x:row>
    <x:row r="19">
      <x:c r="A19" s="9" t="str">
        <x:v>M16</x:v>
      </x:c>
      <x:c r="B19" s="9" t="str">
        <x:v>2/8</x:v>
      </x:c>
      <x:c r="C19" s="9" t="str">
        <x:v>Hogwarts / Magisches Viertel</x:v>
      </x:c>
      <x:c r="D19" s="9" t="n">
        <x:v>102.4</x:v>
      </x:c>
      <x:c r="E19" s="9" t="n">
        <x:v>102.4</x:v>
      </x:c>
      <x:c r="F19" s="9" t="str">
        <x:v>4×4 = 16</x:v>
      </x:c>
      <x:c r="G19" s="9" t="str">
        <x:v>Außen</x:v>
      </x:c>
      <x:c r="H19" s="9" t="str">
        <x:v>1 Modul = 1,0486 m²</x:v>
      </x:c>
      <x:c r="I19" t="n">
        <x:v>2</x:v>
      </x:c>
      <x:c r="J19" t="n">
        <x:v>0.175</x:v>
      </x:c>
      <x:c r="K19" s="146" t="n">
        <x:v>0.1669</x:v>
      </x:c>
      <x:c r="L19" t="str">
        <x:v>gut</x:v>
      </x:c>
    </x:row>
    <x:row r="20">
      <x:c r="A20" s="9" t="str">
        <x:v>M17</x:v>
      </x:c>
      <x:c r="B20" s="9" t="str">
        <x:v>3/1</x:v>
      </x:c>
      <x:c r="C20" s="9" t="str">
        <x:v>Hafen / Piraten</x:v>
      </x:c>
      <x:c r="D20" s="9" t="n">
        <x:v>102.4</x:v>
      </x:c>
      <x:c r="E20" s="9" t="n">
        <x:v>102.4</x:v>
      </x:c>
      <x:c r="F20" s="9" t="str">
        <x:v>4×4 = 16</x:v>
      </x:c>
      <x:c r="G20" s="9" t="str">
        <x:v>Außen</x:v>
      </x:c>
      <x:c r="H20" s="9" t="str">
        <x:v>1 Modul = 1,0486 m²</x:v>
      </x:c>
      <x:c r="I20" t="n">
        <x:v>2</x:v>
      </x:c>
      <x:c r="J20" t="n">
        <x:v>0.336</x:v>
      </x:c>
      <x:c r="K20" s="146" t="n">
        <x:v>0.3204</x:v>
      </x:c>
      <x:c r="L20" t="str">
        <x:v>gut</x:v>
      </x:c>
    </x:row>
    <x:row r="21">
      <x:c r="A21" s="9" t="str">
        <x:v>M18</x:v>
      </x:c>
      <x:c r="B21" s="9" t="str">
        <x:v>3/2</x:v>
      </x:c>
      <x:c r="C21" s="9" t="str">
        <x:v>Hafen / Piraten</x:v>
      </x:c>
      <x:c r="D21" s="9" t="n">
        <x:v>102.4</x:v>
      </x:c>
      <x:c r="E21" s="9" t="n">
        <x:v>102.4</x:v>
      </x:c>
      <x:c r="F21" s="9" t="str">
        <x:v>4×4 = 16</x:v>
      </x:c>
      <x:c r="G21" s="9" t="str">
        <x:v>Innen</x:v>
      </x:c>
      <x:c r="H21" s="9" t="str">
        <x:v>1 Modul = 1,0486 m²</x:v>
      </x:c>
      <x:c r="I21" t="n">
        <x:v>3</x:v>
      </x:c>
      <x:c r="J21" t="n">
        <x:v>0.1773</x:v>
      </x:c>
      <x:c r="K21" s="146" t="n">
        <x:v>0.1691</x:v>
      </x:c>
      <x:c r="L21" t="str">
        <x:v>gut</x:v>
      </x:c>
    </x:row>
    <x:row r="22">
      <x:c r="A22" s="9" t="str">
        <x:v>M19</x:v>
      </x:c>
      <x:c r="B22" s="9" t="str">
        <x:v>3/7</x:v>
      </x:c>
      <x:c r="C22" s="9" t="str">
        <x:v>Disney / Springfield</x:v>
      </x:c>
      <x:c r="D22" s="9" t="n">
        <x:v>102.4</x:v>
      </x:c>
      <x:c r="E22" s="9" t="n">
        <x:v>102.4</x:v>
      </x:c>
      <x:c r="F22" s="9" t="str">
        <x:v>4×4 = 16</x:v>
      </x:c>
      <x:c r="G22" s="9" t="str">
        <x:v>Innen</x:v>
      </x:c>
      <x:c r="H22" s="9" t="str">
        <x:v>1 Modul = 1,0486 m²</x:v>
      </x:c>
      <x:c r="I22" t="n">
        <x:v>5</x:v>
      </x:c>
      <x:c r="J22" t="n">
        <x:v>0.5845</x:v>
      </x:c>
      <x:c r="K22" s="146" t="n">
        <x:v>0.5574</x:v>
      </x:c>
      <x:c r="L22" t="str">
        <x:v>gut</x:v>
      </x:c>
    </x:row>
    <x:row r="23">
      <x:c r="A23" s="9" t="str">
        <x:v>M20</x:v>
      </x:c>
      <x:c r="B23" s="9" t="str">
        <x:v>3/8</x:v>
      </x:c>
      <x:c r="C23" s="9" t="str">
        <x:v>Disney / Springfield</x:v>
      </x:c>
      <x:c r="D23" s="9" t="n">
        <x:v>102.4</x:v>
      </x:c>
      <x:c r="E23" s="9" t="n">
        <x:v>102.4</x:v>
      </x:c>
      <x:c r="F23" s="9" t="str">
        <x:v>4×4 = 16</x:v>
      </x:c>
      <x:c r="G23" s="9" t="str">
        <x:v>Außen</x:v>
      </x:c>
      <x:c r="H23" s="9" t="str">
        <x:v>1 Modul = 1,0486 m²</x:v>
      </x:c>
      <x:c r="I23" t="n">
        <x:v>10</x:v>
      </x:c>
      <x:c r="J23" t="n">
        <x:v>0.5859</x:v>
      </x:c>
      <x:c r="K23" s="146" t="n">
        <x:v>0.5588</x:v>
      </x:c>
      <x:c r="L23" t="str">
        <x:v>gut</x:v>
      </x:c>
    </x:row>
    <x:row r="24">
      <x:c r="A24" s="9" t="str">
        <x:v>M21</x:v>
      </x:c>
      <x:c r="B24" s="9" t="str">
        <x:v>4/1</x:v>
      </x:c>
      <x:c r="C24" s="9" t="str">
        <x:v>Hafen / Piraten</x:v>
      </x:c>
      <x:c r="D24" s="9" t="n">
        <x:v>102.4</x:v>
      </x:c>
      <x:c r="E24" s="9" t="n">
        <x:v>102.4</x:v>
      </x:c>
      <x:c r="F24" s="9" t="str">
        <x:v>4×4 = 16</x:v>
      </x:c>
      <x:c r="G24" s="9" t="str">
        <x:v>Außen</x:v>
      </x:c>
      <x:c r="H24" s="9" t="str">
        <x:v>1 Modul = 1,0486 m²</x:v>
      </x:c>
      <x:c r="I24" t="n">
        <x:v>3</x:v>
      </x:c>
      <x:c r="J24" t="n">
        <x:v>0.1935</x:v>
      </x:c>
      <x:c r="K24" s="146" t="n">
        <x:v>0.1845</x:v>
      </x:c>
      <x:c r="L24" t="str">
        <x:v>gut</x:v>
      </x:c>
    </x:row>
    <x:row r="25">
      <x:c r="A25" s="9" t="str">
        <x:v>M22</x:v>
      </x:c>
      <x:c r="B25" s="9" t="str">
        <x:v>4/2</x:v>
      </x:c>
      <x:c r="C25" s="9" t="str">
        <x:v>Hafen / Piraten</x:v>
      </x:c>
      <x:c r="D25" s="9" t="n">
        <x:v>102.4</x:v>
      </x:c>
      <x:c r="E25" s="9" t="n">
        <x:v>102.4</x:v>
      </x:c>
      <x:c r="F25" s="9" t="str">
        <x:v>4×4 = 16</x:v>
      </x:c>
      <x:c r="G25" s="9" t="str">
        <x:v>Innen</x:v>
      </x:c>
      <x:c r="H25" s="9" t="str">
        <x:v>1 Modul = 1,0486 m²</x:v>
      </x:c>
      <x:c r="I25" t="n">
        <x:v>2</x:v>
      </x:c>
      <x:c r="J25" t="n">
        <x:v>0.1311</x:v>
      </x:c>
      <x:c r="K25" s="146" t="n">
        <x:v>0.125</x:v>
      </x:c>
      <x:c r="L25" t="str">
        <x:v>gut</x:v>
      </x:c>
    </x:row>
    <x:row r="26">
      <x:c r="A26" s="9" t="str">
        <x:v>M23</x:v>
      </x:c>
      <x:c r="B26" s="9" t="str">
        <x:v>4/7</x:v>
      </x:c>
      <x:c r="C26" s="9" t="str">
        <x:v>Disney / Springfield</x:v>
      </x:c>
      <x:c r="D26" s="9" t="n">
        <x:v>102.4</x:v>
      </x:c>
      <x:c r="E26" s="9" t="n">
        <x:v>102.4</x:v>
      </x:c>
      <x:c r="F26" s="9" t="str">
        <x:v>4×4 = 16</x:v>
      </x:c>
      <x:c r="G26" s="9" t="str">
        <x:v>Innen</x:v>
      </x:c>
      <x:c r="H26" s="9" t="str">
        <x:v>1 Modul = 1,0486 m²</x:v>
      </x:c>
      <x:c r="I26" t="n">
        <x:v>7</x:v>
      </x:c>
      <x:c r="J26" t="n">
        <x:v>0.6265</x:v>
      </x:c>
      <x:c r="K26" s="146" t="n">
        <x:v>0.5975</x:v>
      </x:c>
      <x:c r="L26" t="str">
        <x:v>gut</x:v>
      </x:c>
    </x:row>
    <x:row r="27">
      <x:c r="A27" s="9" t="str">
        <x:v>M24</x:v>
      </x:c>
      <x:c r="B27" s="9" t="str">
        <x:v>4/8</x:v>
      </x:c>
      <x:c r="C27" s="9" t="str">
        <x:v>Disney / Springfield</x:v>
      </x:c>
      <x:c r="D27" s="9" t="n">
        <x:v>102.4</x:v>
      </x:c>
      <x:c r="E27" s="9" t="n">
        <x:v>102.4</x:v>
      </x:c>
      <x:c r="F27" s="9" t="str">
        <x:v>4×4 = 16</x:v>
      </x:c>
      <x:c r="G27" s="9" t="str">
        <x:v>Außen</x:v>
      </x:c>
      <x:c r="H27" s="9" t="str">
        <x:v>1 Modul = 1,0486 m²</x:v>
      </x:c>
      <x:c r="I27" t="n">
        <x:v>7</x:v>
      </x:c>
      <x:c r="J27" t="n">
        <x:v>0.6301</x:v>
      </x:c>
      <x:c r="K27" s="146" t="n">
        <x:v>0.6009</x:v>
      </x:c>
      <x:c r="L27" t="str">
        <x:v>gut</x:v>
      </x:c>
    </x:row>
    <x:row r="28">
      <x:c r="A28" s="9" t="str">
        <x:v>M25</x:v>
      </x:c>
      <x:c r="B28" s="9" t="str">
        <x:v>5/1</x:v>
      </x:c>
      <x:c r="C28" s="9" t="str">
        <x:v>Hafen / Piraten</x:v>
      </x:c>
      <x:c r="D28" s="9" t="n">
        <x:v>102.4</x:v>
      </x:c>
      <x:c r="E28" s="9" t="n">
        <x:v>102.4</x:v>
      </x:c>
      <x:c r="F28" s="9" t="str">
        <x:v>4×4 = 16</x:v>
      </x:c>
      <x:c r="G28" s="9" t="str">
        <x:v>Außen</x:v>
      </x:c>
      <x:c r="H28" s="9" t="str">
        <x:v>1 Modul = 1,0486 m²</x:v>
      </x:c>
      <x:c r="I28" t="n">
        <x:v>4</x:v>
      </x:c>
      <x:c r="J28" t="n">
        <x:v>0.2561</x:v>
      </x:c>
      <x:c r="K28" s="146" t="n">
        <x:v>0.2442</x:v>
      </x:c>
      <x:c r="L28" t="str">
        <x:v>gut</x:v>
      </x:c>
    </x:row>
    <x:row r="29">
      <x:c r="A29" s="9" t="str">
        <x:v>M26</x:v>
      </x:c>
      <x:c r="B29" s="9" t="str">
        <x:v>5/2</x:v>
      </x:c>
      <x:c r="C29" s="9" t="str">
        <x:v>Innenstadt / Altstadt</x:v>
      </x:c>
      <x:c r="D29" s="9" t="n">
        <x:v>102.4</x:v>
      </x:c>
      <x:c r="E29" s="9" t="n">
        <x:v>102.4</x:v>
      </x:c>
      <x:c r="F29" s="9" t="str">
        <x:v>4×4 = 16</x:v>
      </x:c>
      <x:c r="G29" s="9" t="str">
        <x:v>seitlich</x:v>
      </x:c>
      <x:c r="H29" s="9" t="str">
        <x:v>1 Modul = 1,0486 m²</x:v>
      </x:c>
      <x:c r="I29" t="n">
        <x:v>2</x:v>
      </x:c>
      <x:c r="J29" t="n">
        <x:v>0.5304</x:v>
      </x:c>
      <x:c r="K29" s="146" t="n">
        <x:v>0.5058</x:v>
      </x:c>
      <x:c r="L29" t="str">
        <x:v>gut</x:v>
      </x:c>
    </x:row>
    <x:row r="30">
      <x:c r="A30" s="9" t="str">
        <x:v>M27</x:v>
      </x:c>
      <x:c r="B30" s="9" t="str">
        <x:v>5/3</x:v>
      </x:c>
      <x:c r="C30" s="9" t="str">
        <x:v>Innenstadt / Altstadt</x:v>
      </x:c>
      <x:c r="D30" s="9" t="n">
        <x:v>102.4</x:v>
      </x:c>
      <x:c r="E30" s="9" t="n">
        <x:v>102.4</x:v>
      </x:c>
      <x:c r="F30" s="9" t="str">
        <x:v>4×4 = 16</x:v>
      </x:c>
      <x:c r="G30" s="9" t="str">
        <x:v>Innen</x:v>
      </x:c>
      <x:c r="H30" s="9" t="str">
        <x:v>1 Modul = 1,0486 m²</x:v>
      </x:c>
      <x:c r="I30" t="n">
        <x:v>10</x:v>
      </x:c>
      <x:c r="J30" t="n">
        <x:v>0.4824</x:v>
      </x:c>
      <x:c r="K30" s="146" t="n">
        <x:v>0.4601</x:v>
      </x:c>
      <x:c r="L30" t="str">
        <x:v>gut</x:v>
      </x:c>
    </x:row>
    <x:row r="31">
      <x:c r="A31" s="9" t="str">
        <x:v>M28</x:v>
      </x:c>
      <x:c r="B31" s="9" t="str">
        <x:v>5/4</x:v>
      </x:c>
      <x:c r="C31" s="9" t="str">
        <x:v>Innenstadt / Altstadt</x:v>
      </x:c>
      <x:c r="D31" s="9" t="n">
        <x:v>102.4</x:v>
      </x:c>
      <x:c r="E31" s="9" t="n">
        <x:v>102.4</x:v>
      </x:c>
      <x:c r="F31" s="9" t="str">
        <x:v>4×4 = 16</x:v>
      </x:c>
      <x:c r="G31" s="9" t="str">
        <x:v>Innen</x:v>
      </x:c>
      <x:c r="H31" s="9" t="str">
        <x:v>1 Modul = 1,0486 m²</x:v>
      </x:c>
      <x:c r="I31" t="n">
        <x:v>6</x:v>
      </x:c>
      <x:c r="J31" t="n">
        <x:v>0.5021</x:v>
      </x:c>
      <x:c r="K31" s="146" t="n">
        <x:v>0.4788</x:v>
      </x:c>
      <x:c r="L31" t="str">
        <x:v>gut</x:v>
      </x:c>
    </x:row>
    <x:row r="32">
      <x:c r="A32" s="9" t="str">
        <x:v>M29</x:v>
      </x:c>
      <x:c r="B32" s="9" t="str">
        <x:v>5/5</x:v>
      </x:c>
      <x:c r="C32" s="9" t="str">
        <x:v>Architecture / Weltpark</x:v>
      </x:c>
      <x:c r="D32" s="9" t="n">
        <x:v>102.4</x:v>
      </x:c>
      <x:c r="E32" s="9" t="n">
        <x:v>102.4</x:v>
      </x:c>
      <x:c r="F32" s="9" t="str">
        <x:v>4×4 = 16</x:v>
      </x:c>
      <x:c r="G32" s="9" t="str">
        <x:v>Innen</x:v>
      </x:c>
      <x:c r="H32" s="9" t="str">
        <x:v>1 Modul = 1,0486 m²</x:v>
      </x:c>
      <x:c r="I32" t="n">
        <x:v>8</x:v>
      </x:c>
      <x:c r="J32" t="n">
        <x:v>0.5675</x:v>
      </x:c>
      <x:c r="K32" s="146" t="n">
        <x:v>0.5412</x:v>
      </x:c>
      <x:c r="L32" t="str">
        <x:v>gut</x:v>
      </x:c>
    </x:row>
    <x:row r="33">
      <x:c r="A33" s="9" t="str">
        <x:v>M30</x:v>
      </x:c>
      <x:c r="B33" s="9" t="str">
        <x:v>5/6</x:v>
      </x:c>
      <x:c r="C33" s="9" t="str">
        <x:v>Architecture / Weltpark</x:v>
      </x:c>
      <x:c r="D33" s="9" t="n">
        <x:v>102.4</x:v>
      </x:c>
      <x:c r="E33" s="9" t="n">
        <x:v>102.4</x:v>
      </x:c>
      <x:c r="F33" s="9" t="str">
        <x:v>4×4 = 16</x:v>
      </x:c>
      <x:c r="G33" s="9" t="str">
        <x:v>Innen</x:v>
      </x:c>
      <x:c r="H33" s="9" t="str">
        <x:v>1 Modul = 1,0486 m²</x:v>
      </x:c>
      <x:c r="I33" t="n">
        <x:v>9</x:v>
      </x:c>
      <x:c r="J33" t="n">
        <x:v>0.5612</x:v>
      </x:c>
      <x:c r="K33" s="146" t="n">
        <x:v>0.5352</x:v>
      </x:c>
      <x:c r="L33" t="str">
        <x:v>gut</x:v>
      </x:c>
    </x:row>
    <x:row r="34">
      <x:c r="A34" s="9" t="str">
        <x:v>M31</x:v>
      </x:c>
      <x:c r="B34" s="9" t="str">
        <x:v>5/7</x:v>
      </x:c>
      <x:c r="C34" s="9" t="str">
        <x:v>Botanik / Technik</x:v>
      </x:c>
      <x:c r="D34" s="9" t="n">
        <x:v>102.4</x:v>
      </x:c>
      <x:c r="E34" s="9" t="n">
        <x:v>102.4</x:v>
      </x:c>
      <x:c r="F34" s="9" t="str">
        <x:v>4×4 = 16</x:v>
      </x:c>
      <x:c r="G34" s="9" t="str">
        <x:v>seitlich</x:v>
      </x:c>
      <x:c r="H34" s="9" t="str">
        <x:v>1 Modul = 1,0486 m²</x:v>
      </x:c>
      <x:c r="I34" t="n">
        <x:v>6</x:v>
      </x:c>
      <x:c r="J34" t="n">
        <x:v>0.4673</x:v>
      </x:c>
      <x:c r="K34" s="146" t="n">
        <x:v>0.4456</x:v>
      </x:c>
      <x:c r="L34" t="str">
        <x:v>gut</x:v>
      </x:c>
    </x:row>
    <x:row r="35">
      <x:c r="A35" s="9" t="str">
        <x:v>M32</x:v>
      </x:c>
      <x:c r="B35" s="9" t="str">
        <x:v>5/8</x:v>
      </x:c>
      <x:c r="C35" s="9" t="str">
        <x:v>Botanik / Technik</x:v>
      </x:c>
      <x:c r="D35" s="9" t="n">
        <x:v>102.4</x:v>
      </x:c>
      <x:c r="E35" s="9" t="n">
        <x:v>102.4</x:v>
      </x:c>
      <x:c r="F35" s="9" t="str">
        <x:v>4×4 = 16</x:v>
      </x:c>
      <x:c r="G35" s="9" t="str">
        <x:v>Außen</x:v>
      </x:c>
      <x:c r="H35" s="9" t="str">
        <x:v>1 Modul = 1,0486 m²</x:v>
      </x:c>
      <x:c r="I35" t="n">
        <x:v>12</x:v>
      </x:c>
      <x:c r="J35" t="n">
        <x:v>0.4488</x:v>
      </x:c>
      <x:c r="K35" s="146" t="n">
        <x:v>0.428</x:v>
      </x:c>
      <x:c r="L35" t="str">
        <x:v>gut</x:v>
      </x:c>
    </x:row>
    <x:row r="36">
      <x:c r="A36" s="9" t="str">
        <x:v>M33</x:v>
      </x:c>
      <x:c r="B36" s="9" t="str">
        <x:v>6/1</x:v>
      </x:c>
      <x:c r="C36" s="9" t="str">
        <x:v>Hafen / Piraten</x:v>
      </x:c>
      <x:c r="D36" s="9" t="n">
        <x:v>102.4</x:v>
      </x:c>
      <x:c r="E36" s="9" t="n">
        <x:v>102.4</x:v>
      </x:c>
      <x:c r="F36" s="9" t="str">
        <x:v>4×4 = 16</x:v>
      </x:c>
      <x:c r="G36" s="9" t="str">
        <x:v>Außen</x:v>
      </x:c>
      <x:c r="H36" s="9" t="str">
        <x:v>1 Modul = 1,0486 m²</x:v>
      </x:c>
      <x:c r="I36" t="n">
        <x:v>4</x:v>
      </x:c>
      <x:c r="J36" t="n">
        <x:v>0.2561</x:v>
      </x:c>
      <x:c r="K36" s="146" t="n">
        <x:v>0.2442</x:v>
      </x:c>
      <x:c r="L36" t="str">
        <x:v>gut</x:v>
      </x:c>
    </x:row>
    <x:row r="37">
      <x:c r="A37" s="9" t="str">
        <x:v>M34</x:v>
      </x:c>
      <x:c r="B37" s="9" t="str">
        <x:v>6/2</x:v>
      </x:c>
      <x:c r="C37" s="9" t="str">
        <x:v>Innenstadt / Altstadt</x:v>
      </x:c>
      <x:c r="D37" s="9" t="n">
        <x:v>102.4</x:v>
      </x:c>
      <x:c r="E37" s="9" t="n">
        <x:v>102.4</x:v>
      </x:c>
      <x:c r="F37" s="9" t="str">
        <x:v>4×4 = 16</x:v>
      </x:c>
      <x:c r="G37" s="9" t="str">
        <x:v>Außen</x:v>
      </x:c>
      <x:c r="H37" s="9" t="str">
        <x:v>1 Modul = 1,0486 m²</x:v>
      </x:c>
      <x:c r="I37" t="n">
        <x:v>8</x:v>
      </x:c>
      <x:c r="J37" t="n">
        <x:v>0.503</x:v>
      </x:c>
      <x:c r="K37" s="146" t="n">
        <x:v>0.4797</x:v>
      </x:c>
      <x:c r="L37" t="str">
        <x:v>gut</x:v>
      </x:c>
    </x:row>
    <x:row r="38">
      <x:c r="A38" s="9" t="str">
        <x:v>M35</x:v>
      </x:c>
      <x:c r="B38" s="9" t="str">
        <x:v>6/3</x:v>
      </x:c>
      <x:c r="C38" s="9" t="str">
        <x:v>Innenstadt / Altstadt</x:v>
      </x:c>
      <x:c r="D38" s="9" t="n">
        <x:v>102.4</x:v>
      </x:c>
      <x:c r="E38" s="9" t="n">
        <x:v>102.4</x:v>
      </x:c>
      <x:c r="F38" s="9" t="str">
        <x:v>4×4 = 16</x:v>
      </x:c>
      <x:c r="G38" s="9" t="str">
        <x:v>Außen</x:v>
      </x:c>
      <x:c r="H38" s="9" t="str">
        <x:v>1 Modul = 1,0486 m²</x:v>
      </x:c>
      <x:c r="I38" t="n">
        <x:v>7</x:v>
      </x:c>
      <x:c r="J38" t="n">
        <x:v>0.4874</x:v>
      </x:c>
      <x:c r="K38" s="146" t="n">
        <x:v>0.4648</x:v>
      </x:c>
      <x:c r="L38" t="str">
        <x:v>gut</x:v>
      </x:c>
    </x:row>
    <x:row r="39">
      <x:c r="A39" s="9" t="str">
        <x:v>M36</x:v>
      </x:c>
      <x:c r="B39" s="9" t="str">
        <x:v>6/4</x:v>
      </x:c>
      <x:c r="C39" s="9" t="str">
        <x:v>Innenstadt / Altstadt</x:v>
      </x:c>
      <x:c r="D39" s="9" t="n">
        <x:v>102.4</x:v>
      </x:c>
      <x:c r="E39" s="9" t="n">
        <x:v>102.4</x:v>
      </x:c>
      <x:c r="F39" s="9" t="str">
        <x:v>4×4 = 16</x:v>
      </x:c>
      <x:c r="G39" s="9" t="str">
        <x:v>Außen</x:v>
      </x:c>
      <x:c r="H39" s="9" t="str">
        <x:v>1 Modul = 1,0486 m²</x:v>
      </x:c>
      <x:c r="I39" t="n">
        <x:v>8</x:v>
      </x:c>
      <x:c r="J39" t="n">
        <x:v>0.5294</x:v>
      </x:c>
      <x:c r="K39" s="146" t="n">
        <x:v>0.5048</x:v>
      </x:c>
      <x:c r="L39" t="str">
        <x:v>gut</x:v>
      </x:c>
    </x:row>
    <x:row r="40">
      <x:c r="A40" s="9" t="str">
        <x:v>M37</x:v>
      </x:c>
      <x:c r="B40" s="9" t="str">
        <x:v>6/5</x:v>
      </x:c>
      <x:c r="C40" s="9" t="str">
        <x:v>Architecture / Weltpark</x:v>
      </x:c>
      <x:c r="D40" s="9" t="n">
        <x:v>102.4</x:v>
      </x:c>
      <x:c r="E40" s="9" t="n">
        <x:v>102.4</x:v>
      </x:c>
      <x:c r="F40" s="9" t="str">
        <x:v>4×4 = 16</x:v>
      </x:c>
      <x:c r="G40" s="9" t="str">
        <x:v>Außen</x:v>
      </x:c>
      <x:c r="H40" s="9" t="str">
        <x:v>1 Modul = 1,0486 m²</x:v>
      </x:c>
      <x:c r="I40" t="n">
        <x:v>8</x:v>
      </x:c>
      <x:c r="J40" t="n">
        <x:v>0.5747</x:v>
      </x:c>
      <x:c r="K40" s="146" t="n">
        <x:v>0.548</x:v>
      </x:c>
      <x:c r="L40" t="str">
        <x:v>gut</x:v>
      </x:c>
    </x:row>
    <x:row r="41">
      <x:c r="A41" s="9" t="str">
        <x:v>M38</x:v>
      </x:c>
      <x:c r="B41" s="9" t="str">
        <x:v>6/6</x:v>
      </x:c>
      <x:c r="C41" s="9" t="str">
        <x:v>Architecture / Weltpark</x:v>
      </x:c>
      <x:c r="D41" s="9" t="n">
        <x:v>102.4</x:v>
      </x:c>
      <x:c r="E41" s="9" t="n">
        <x:v>102.4</x:v>
      </x:c>
      <x:c r="F41" s="9" t="str">
        <x:v>4×4 = 16</x:v>
      </x:c>
      <x:c r="G41" s="9" t="str">
        <x:v>Außen</x:v>
      </x:c>
      <x:c r="H41" s="9" t="str">
        <x:v>1 Modul = 1,0486 m²</x:v>
      </x:c>
      <x:c r="I41" t="n">
        <x:v>11</x:v>
      </x:c>
      <x:c r="J41" t="n">
        <x:v>0.5819</x:v>
      </x:c>
      <x:c r="K41" s="146" t="n">
        <x:v>0.5549</x:v>
      </x:c>
      <x:c r="L41" t="str">
        <x:v>gut</x:v>
      </x:c>
    </x:row>
    <x:row r="42">
      <x:c r="A42" s="9" t="str">
        <x:v>M39</x:v>
      </x:c>
      <x:c r="B42" s="9" t="str">
        <x:v>6/7</x:v>
      </x:c>
      <x:c r="C42" s="9" t="str">
        <x:v>Botanik / Technik</x:v>
      </x:c>
      <x:c r="D42" s="9" t="n">
        <x:v>102.4</x:v>
      </x:c>
      <x:c r="E42" s="9" t="n">
        <x:v>102.4</x:v>
      </x:c>
      <x:c r="F42" s="9" t="str">
        <x:v>4×4 = 16</x:v>
      </x:c>
      <x:c r="G42" s="9" t="str">
        <x:v>Außen</x:v>
      </x:c>
      <x:c r="H42" s="9" t="str">
        <x:v>1 Modul = 1,0486 m²</x:v>
      </x:c>
      <x:c r="I42" t="n">
        <x:v>12</x:v>
      </x:c>
      <x:c r="J42" t="n">
        <x:v>0.5231</x:v>
      </x:c>
      <x:c r="K42" s="146" t="n">
        <x:v>0.4988</x:v>
      </x:c>
      <x:c r="L42" t="str">
        <x:v>gut</x:v>
      </x:c>
    </x:row>
    <x:row r="43">
      <x:c r="A43" s="9" t="str">
        <x:v>M40</x:v>
      </x:c>
      <x:c r="B43" s="9" t="str">
        <x:v>6/8</x:v>
      </x:c>
      <x:c r="C43" s="9" t="str">
        <x:v>Botanik / Technik</x:v>
      </x:c>
      <x:c r="D43" s="9" t="n">
        <x:v>102.4</x:v>
      </x:c>
      <x:c r="E43" s="9" t="n">
        <x:v>102.4</x:v>
      </x:c>
      <x:c r="F43" s="9" t="str">
        <x:v>4×4 = 16</x:v>
      </x:c>
      <x:c r="G43" s="9" t="str">
        <x:v>Außen</x:v>
      </x:c>
      <x:c r="H43" s="9" t="str">
        <x:v>1 Modul = 1,0486 m²</x:v>
      </x:c>
      <x:c r="I43" t="n">
        <x:v>11</x:v>
      </x:c>
      <x:c r="J43" t="n">
        <x:v>0.492</x:v>
      </x:c>
      <x:c r="K43" s="146" t="n">
        <x:v>0.4692</x:v>
      </x:c>
      <x:c r="L43" t="str">
        <x:v>gut</x:v>
      </x:c>
    </x:row>
  </x:sheetData>
  <x:mergeCells>
    <x:mergeCell ref="A1:H1"/>
  </x:mergeCells>
  <x:conditionalFormatting sqref="L4:L43">
    <x:cfRule type="expression" dxfId="11" priority="1">
      <x:formula>L4="gut"</x:formula>
    </x:cfRule>
    <x:cfRule type="expression" dxfId="12" priority="2">
      <x:formula>L4="eng"</x:formula>
    </x:cfRule>
    <x:cfRule type="expression" dxfId="13" priority="3">
      <x:formula>L4="überfüllt"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24" hidden="0" customWidth="1"/>
    <x:col min="4" max="4" width="34" hidden="0" customWidth="1"/>
    <x:col min="5" max="5" width="13" hidden="0" customWidth="1"/>
    <x:col min="6" max="6" width="10" hidden="0" customWidth="1"/>
    <x:col min="7" max="7" width="12" hidden="0" customWidth="1"/>
    <x:col min="8" max="8" width="11" hidden="0" customWidth="1"/>
    <x:col min="9" max="9" width="11" hidden="0" customWidth="1"/>
    <x:col min="10" max="10" width="11" hidden="0" customWidth="1"/>
    <x:col min="11" max="11" width="14" hidden="0" customWidth="1"/>
    <x:col min="12" max="12" width="18" hidden="0" customWidth="1"/>
    <x:col min="13" max="13" width="28" hidden="0" customWidth="1"/>
    <x:col min="14" max="14" width="10" hidden="0" customWidth="1"/>
  </x:cols>
  <x:sheetData>
    <x:row r="1">
      <x:c r="A1" s="142" t="str">
        <x:v>Konkrete Set-Platzierung – 245 bestätigte Exemplare</x:v>
      </x:c>
      <x:c r="B1" s="142"/>
      <x:c r="C1" s="142"/>
      <x:c r="D1" s="142"/>
      <x:c r="E1" s="142"/>
      <x:c r="F1" s="142"/>
      <x:c r="G1" s="142"/>
      <x:c r="H1" s="142"/>
      <x:c r="I1" s="142"/>
      <x:c r="J1" s="142"/>
      <x:c r="K1" s="142"/>
      <x:c r="L1" s="142"/>
      <x:c r="M1" s="142"/>
      <x:c r="N1" s="142"/>
    </x:row>
    <x:row r="3">
      <x:c r="A3" s="145" t="str">
        <x:v>Modul</x:v>
      </x:c>
      <x:c r="B3" s="145" t="str">
        <x:v>Raster</x:v>
      </x:c>
      <x:c r="C3" s="145" t="str">
        <x:v>Zone</x:v>
      </x:c>
      <x:c r="D3" s="145" t="str">
        <x:v>Setname</x:v>
      </x:c>
      <x:c r="E3" s="145" t="str">
        <x:v>Artikelnummer</x:v>
      </x:c>
      <x:c r="F3" s="145" t="str">
        <x:v>Exemplar</x:v>
      </x:c>
      <x:c r="G3" s="145" t="str">
        <x:v>Gesamtmenge</x:v>
      </x:c>
      <x:c r="H3" s="145" t="str">
        <x:v>Breite cm</x:v>
      </x:c>
      <x:c r="I3" s="145" t="str">
        <x:v>Tiefe cm</x:v>
      </x:c>
      <x:c r="J3" s="145" t="str">
        <x:v>Höhe cm</x:v>
      </x:c>
      <x:c r="K3" s="145" t="str">
        <x:v>Planfläche m²</x:v>
      </x:c>
      <x:c r="L3" s="145" t="str">
        <x:v>Position im Modul</x:v>
      </x:c>
      <x:c r="M3" s="145" t="str">
        <x:v>Hinweis</x:v>
      </x:c>
      <x:c r="N3" s="145" t="str">
        <x:v>Bauphase</x:v>
      </x:c>
    </x:row>
    <x:row r="4">
      <x:c r="A4" s="9" t="str">
        <x:v>M01</x:v>
      </x:c>
      <x:c r="B4" s="9" t="str">
        <x:v>1/1</x:v>
      </x:c>
      <x:c r="C4" s="9" t="str">
        <x:v>Weihnachtsdorf</x:v>
      </x:c>
      <x:c r="D4" s="9" t="str">
        <x:v>Winter Toy Shop</x:v>
      </x:c>
      <x:c r="E4" s="9" t="str">
        <x:v>10199</x:v>
      </x:c>
      <x:c r="F4" s="9" t="n">
        <x:v>1</x:v>
      </x:c>
      <x:c r="G4" s="9" t="n">
        <x:v>1</x:v>
      </x:c>
      <x:c r="H4" s="9" t="n">
        <x:v>19</x:v>
      </x:c>
      <x:c r="I4" s="9" t="n">
        <x:v>8</x:v>
      </x:c>
      <x:c r="J4" s="9" t="n">
        <x:v>17</x:v>
      </x:c>
      <x:c r="K4" s="43" t="n">
        <x:v>0.0152</x:v>
      </x:c>
      <x:c r="L4" s="9" t="str">
        <x:v>NW</x:v>
      </x:c>
      <x:c r="M4" s="9" t="str"/>
      <x:c r="N4" s="9" t="n">
        <x:v>3</x:v>
      </x:c>
    </x:row>
    <x:row r="5">
      <x:c r="A5" s="9" t="str">
        <x:v>M34</x:v>
      </x:c>
      <x:c r="B5" s="9" t="str">
        <x:v>6/2</x:v>
      </x:c>
      <x:c r="C5" s="9" t="str">
        <x:v>Innenstadt</x:v>
      </x:c>
      <x:c r="D5" s="9" t="str">
        <x:v>Großes Kaufhaus</x:v>
      </x:c>
      <x:c r="E5" s="9" t="str">
        <x:v>10211</x:v>
      </x:c>
      <x:c r="F5" s="9" t="n">
        <x:v>1</x:v>
      </x:c>
      <x:c r="G5" s="9" t="n">
        <x:v>1</x:v>
      </x:c>
      <x:c r="H5" s="9" t="n">
        <x:v>25.6</x:v>
      </x:c>
      <x:c r="I5" s="9" t="n">
        <x:v>25.6</x:v>
      </x:c>
      <x:c r="J5" s="9" t="n">
        <x:v>37.5</x:v>
      </x:c>
      <x:c r="K5" s="43" t="n">
        <x:v>0.0655</x:v>
      </x:c>
      <x:c r="L5" s="9" t="str">
        <x:v>NE</x:v>
      </x:c>
      <x:c r="M5" s="9" t="str"/>
      <x:c r="N5" s="9" t="n">
        <x:v>3</x:v>
      </x:c>
    </x:row>
    <x:row r="6">
      <x:c r="A6" s="9" t="str">
        <x:v>M26</x:v>
      </x:c>
      <x:c r="B6" s="9" t="str">
        <x:v>5/2</x:v>
      </x:c>
      <x:c r="C6" s="9" t="str">
        <x:v>Innenstadt</x:v>
      </x:c>
      <x:c r="D6" s="9" t="str">
        <x:v>Tower Bridge</x:v>
      </x:c>
      <x:c r="E6" s="9" t="str">
        <x:v>10214</x:v>
      </x:c>
      <x:c r="F6" s="9" t="n">
        <x:v>1</x:v>
      </x:c>
      <x:c r="G6" s="9" t="n">
        <x:v>1</x:v>
      </x:c>
      <x:c r="H6" s="9" t="n">
        <x:v>102</x:v>
      </x:c>
      <x:c r="I6" s="9" t="n">
        <x:v>26</x:v>
      </x:c>
      <x:c r="J6" s="9" t="n">
        <x:v>45</x:v>
      </x:c>
      <x:c r="K6" s="43" t="n">
        <x:v>0.2652</x:v>
      </x:c>
      <x:c r="L6" s="9" t="str">
        <x:v>ganze Breite</x:v>
      </x:c>
      <x:c r="M6" s="9" t="str">
        <x:v>entlang Modulkante platzieren</x:v>
      </x:c>
      <x:c r="N6" s="9" t="n">
        <x:v>3</x:v>
      </x:c>
    </x:row>
    <x:row r="7">
      <x:c r="A7" s="9" t="str">
        <x:v>M02</x:v>
      </x:c>
      <x:c r="B7" s="9" t="str">
        <x:v>1/2</x:v>
      </x:c>
      <x:c r="C7" s="9" t="str">
        <x:v>Weihnachtsdorf</x:v>
      </x:c>
      <x:c r="D7" s="9" t="str">
        <x:v>Winter Village Bakery</x:v>
      </x:c>
      <x:c r="E7" s="9" t="str">
        <x:v>10216</x:v>
      </x:c>
      <x:c r="F7" s="9" t="n">
        <x:v>1</x:v>
      </x:c>
      <x:c r="G7" s="9" t="n">
        <x:v>1</x:v>
      </x:c>
      <x:c r="H7" s="9" t="n">
        <x:v>40</x:v>
      </x:c>
      <x:c r="I7" s="9" t="n">
        <x:v>30</x:v>
      </x:c>
      <x:c r="J7" s="9" t="n">
        <x:v>18</x:v>
      </x:c>
      <x:c r="K7" s="43" t="n">
        <x:v>0.12</x:v>
      </x:c>
      <x:c r="L7" s="9" t="str">
        <x:v>NW</x:v>
      </x:c>
      <x:c r="M7" s="9" t="str"/>
      <x:c r="N7" s="9" t="n">
        <x:v>3</x:v>
      </x:c>
    </x:row>
    <x:row r="8">
      <x:c r="A8" s="9" t="str">
        <x:v>M35</x:v>
      </x:c>
      <x:c r="B8" s="9" t="str">
        <x:v>6/3</x:v>
      </x:c>
      <x:c r="C8" s="9" t="str">
        <x:v>Innenstadt</x:v>
      </x:c>
      <x:c r="D8" s="9" t="str">
        <x:v>Zoohandlung</x:v>
      </x:c>
      <x:c r="E8" s="9" t="str">
        <x:v>10218</x:v>
      </x:c>
      <x:c r="F8" s="9" t="n">
        <x:v>1</x:v>
      </x:c>
      <x:c r="G8" s="9" t="n">
        <x:v>1</x:v>
      </x:c>
      <x:c r="H8" s="9" t="n">
        <x:v>25.5</x:v>
      </x:c>
      <x:c r="I8" s="9" t="n">
        <x:v>25.5</x:v>
      </x:c>
      <x:c r="J8" s="9" t="n">
        <x:v>26.5</x:v>
      </x:c>
      <x:c r="K8" s="43" t="n">
        <x:v>0.065</x:v>
      </x:c>
      <x:c r="L8" s="9" t="str">
        <x:v>NE</x:v>
      </x:c>
      <x:c r="M8" s="9" t="str"/>
      <x:c r="N8" s="9" t="n">
        <x:v>3</x:v>
      </x:c>
    </x:row>
    <x:row r="9">
      <x:c r="A9" s="9" t="str">
        <x:v>M03</x:v>
      </x:c>
      <x:c r="B9" s="9" t="str">
        <x:v>1/3</x:v>
      </x:c>
      <x:c r="C9" s="9" t="str">
        <x:v>Weihnachtsdorf</x:v>
      </x:c>
      <x:c r="D9" s="9" t="str">
        <x:v>Winterliches Postamt</x:v>
      </x:c>
      <x:c r="E9" s="9" t="str">
        <x:v>10222</x:v>
      </x:c>
      <x:c r="F9" s="9" t="n">
        <x:v>1</x:v>
      </x:c>
      <x:c r="G9" s="9" t="n">
        <x:v>1</x:v>
      </x:c>
      <x:c r="H9" s="9" t="n">
        <x:v>19</x:v>
      </x:c>
      <x:c r="I9" s="9" t="n">
        <x:v>8</x:v>
      </x:c>
      <x:c r="J9" s="9" t="n">
        <x:v>15</x:v>
      </x:c>
      <x:c r="K9" s="43" t="n">
        <x:v>0.0152</x:v>
      </x:c>
      <x:c r="L9" s="9" t="str">
        <x:v>NW</x:v>
      </x:c>
      <x:c r="M9" s="9" t="str"/>
      <x:c r="N9" s="9" t="n">
        <x:v>3</x:v>
      </x:c>
    </x:row>
    <x:row r="10">
      <x:c r="A10" s="9" t="str">
        <x:v>M36</x:v>
      </x:c>
      <x:c r="B10" s="9" t="str">
        <x:v>6/4</x:v>
      </x:c>
      <x:c r="C10" s="9" t="str">
        <x:v>Innenstadt</x:v>
      </x:c>
      <x:c r="D10" s="9" t="str">
        <x:v>Rathaus</x:v>
      </x:c>
      <x:c r="E10" s="9" t="str">
        <x:v>10224</x:v>
      </x:c>
      <x:c r="F10" s="9" t="n">
        <x:v>1</x:v>
      </x:c>
      <x:c r="G10" s="9" t="n">
        <x:v>1</x:v>
      </x:c>
      <x:c r="H10" s="9" t="n">
        <x:v>25.6</x:v>
      </x:c>
      <x:c r="I10" s="9" t="n">
        <x:v>25.6</x:v>
      </x:c>
      <x:c r="J10" s="9" t="n">
        <x:v>50</x:v>
      </x:c>
      <x:c r="K10" s="43" t="n">
        <x:v>0.0655</x:v>
      </x:c>
      <x:c r="L10" s="9" t="str">
        <x:v>NE</x:v>
      </x:c>
      <x:c r="M10" s="9" t="str"/>
      <x:c r="N10" s="9" t="n">
        <x:v>3</x:v>
      </x:c>
    </x:row>
    <x:row r="11">
      <x:c r="A11" s="9" t="str">
        <x:v>M04</x:v>
      </x:c>
      <x:c r="B11" s="9" t="str">
        <x:v>1/4</x:v>
      </x:c>
      <x:c r="C11" s="9" t="str">
        <x:v>Weihnachtsdorf</x:v>
      </x:c>
      <x:c r="D11" s="9" t="str">
        <x:v>Winter Village Cottage</x:v>
      </x:c>
      <x:c r="E11" s="9" t="str">
        <x:v>10229</x:v>
      </x:c>
      <x:c r="F11" s="9" t="n">
        <x:v>1</x:v>
      </x:c>
      <x:c r="G11" s="9" t="n">
        <x:v>1</x:v>
      </x:c>
      <x:c r="H11" s="9" t="n">
        <x:v>25</x:v>
      </x:c>
      <x:c r="I11" s="9" t="n">
        <x:v>14</x:v>
      </x:c>
      <x:c r="J11" s="9" t="n">
        <x:v>17</x:v>
      </x:c>
      <x:c r="K11" s="43" t="n">
        <x:v>0.035</x:v>
      </x:c>
      <x:c r="L11" s="9" t="str">
        <x:v>NW</x:v>
      </x:c>
      <x:c r="M11" s="9" t="str"/>
      <x:c r="N11" s="9" t="n">
        <x:v>3</x:v>
      </x:c>
    </x:row>
    <x:row r="12">
      <x:c r="A12" s="9" t="str">
        <x:v>M27</x:v>
      </x:c>
      <x:c r="B12" s="9" t="str">
        <x:v>5/3</x:v>
      </x:c>
      <x:c r="C12" s="9" t="str">
        <x:v>Innenstadt</x:v>
      </x:c>
      <x:c r="D12" s="9" t="str">
        <x:v>Palace Cinema</x:v>
      </x:c>
      <x:c r="E12" s="9" t="str">
        <x:v>10232</x:v>
      </x:c>
      <x:c r="F12" s="9" t="n">
        <x:v>1</x:v>
      </x:c>
      <x:c r="G12" s="9" t="n">
        <x:v>1</x:v>
      </x:c>
      <x:c r="H12" s="9" t="n">
        <x:v>25.5</x:v>
      </x:c>
      <x:c r="I12" s="9" t="n">
        <x:v>25.5</x:v>
      </x:c>
      <x:c r="J12" s="9" t="n">
        <x:v>38</x:v>
      </x:c>
      <x:c r="K12" s="43" t="n">
        <x:v>0.065</x:v>
      </x:c>
      <x:c r="L12" s="9" t="str">
        <x:v>NE</x:v>
      </x:c>
      <x:c r="M12" s="9" t="str"/>
      <x:c r="N12" s="9" t="n">
        <x:v>3</x:v>
      </x:c>
    </x:row>
    <x:row r="13">
      <x:c r="A13" s="9" t="str">
        <x:v>M09</x:v>
      </x:c>
      <x:c r="B13" s="9" t="str">
        <x:v>2/1</x:v>
      </x:c>
      <x:c r="C13" s="9" t="str">
        <x:v>Weihnachtsdorf</x:v>
      </x:c>
      <x:c r="D13" s="9" t="str">
        <x:v>Winter Village Market</x:v>
      </x:c>
      <x:c r="E13" s="9" t="str">
        <x:v>10235</x:v>
      </x:c>
      <x:c r="F13" s="9" t="n">
        <x:v>1</x:v>
      </x:c>
      <x:c r="G13" s="9" t="n">
        <x:v>1</x:v>
      </x:c>
      <x:c r="H13" s="9" t="n">
        <x:v>25</x:v>
      </x:c>
      <x:c r="I13" s="9" t="n">
        <x:v>16</x:v>
      </x:c>
      <x:c r="J13" s="9" t="n">
        <x:v>19</x:v>
      </x:c>
      <x:c r="K13" s="43" t="n">
        <x:v>0.04</x:v>
      </x:c>
      <x:c r="L13" s="9" t="str">
        <x:v>NW</x:v>
      </x:c>
      <x:c r="M13" s="9" t="str"/>
      <x:c r="N13" s="9" t="n">
        <x:v>3</x:v>
      </x:c>
    </x:row>
    <x:row r="14">
      <x:c r="A14" s="9" t="str">
        <x:v>M28</x:v>
      </x:c>
      <x:c r="B14" s="9" t="str">
        <x:v>5/4</x:v>
      </x:c>
      <x:c r="C14" s="9" t="str">
        <x:v>Innenstadt</x:v>
      </x:c>
      <x:c r="D14" s="9" t="str">
        <x:v>Pariser Restaurant</x:v>
      </x:c>
      <x:c r="E14" s="9" t="str">
        <x:v>10243</x:v>
      </x:c>
      <x:c r="F14" s="9" t="n">
        <x:v>1</x:v>
      </x:c>
      <x:c r="G14" s="9" t="n">
        <x:v>1</x:v>
      </x:c>
      <x:c r="H14" s="9" t="n">
        <x:v>25</x:v>
      </x:c>
      <x:c r="I14" s="9" t="n">
        <x:v>25</x:v>
      </x:c>
      <x:c r="J14" s="9" t="n">
        <x:v>30</x:v>
      </x:c>
      <x:c r="K14" s="43" t="n">
        <x:v>0.0625</x:v>
      </x:c>
      <x:c r="L14" s="9" t="str">
        <x:v>NE</x:v>
      </x:c>
      <x:c r="M14" s="9" t="str"/>
      <x:c r="N14" s="9" t="n">
        <x:v>3</x:v>
      </x:c>
    </x:row>
    <x:row r="15">
      <x:c r="A15" s="9" t="str">
        <x:v>M10</x:v>
      </x:c>
      <x:c r="B15" s="9" t="str">
        <x:v>2/2</x:v>
      </x:c>
      <x:c r="C15" s="9" t="str">
        <x:v>Weihnachtsdorf</x:v>
      </x:c>
      <x:c r="D15" s="9" t="str">
        <x:v>Weihnachtliche Werkstatt</x:v>
      </x:c>
      <x:c r="E15" s="9" t="str">
        <x:v>10245</x:v>
      </x:c>
      <x:c r="F15" s="9" t="n">
        <x:v>1</x:v>
      </x:c>
      <x:c r="G15" s="9" t="n">
        <x:v>1</x:v>
      </x:c>
      <x:c r="H15" s="9" t="n">
        <x:v>24</x:v>
      </x:c>
      <x:c r="I15" s="9" t="n">
        <x:v>8</x:v>
      </x:c>
      <x:c r="J15" s="9" t="n">
        <x:v>16</x:v>
      </x:c>
      <x:c r="K15" s="43" t="n">
        <x:v>0.0192</x:v>
      </x:c>
      <x:c r="L15" s="9" t="str">
        <x:v>NW</x:v>
      </x:c>
      <x:c r="M15" s="9" t="str"/>
      <x:c r="N15" s="9" t="n">
        <x:v>3</x:v>
      </x:c>
    </x:row>
    <x:row r="16">
      <x:c r="A16" s="9" t="str">
        <x:v>M34</x:v>
      </x:c>
      <x:c r="B16" s="9" t="str">
        <x:v>6/2</x:v>
      </x:c>
      <x:c r="C16" s="9" t="str">
        <x:v>Innenstadt</x:v>
      </x:c>
      <x:c r="D16" s="9" t="str">
        <x:v>Detektivbüro</x:v>
      </x:c>
      <x:c r="E16" s="9" t="str">
        <x:v>10246</x:v>
      </x:c>
      <x:c r="F16" s="9" t="n">
        <x:v>1</x:v>
      </x:c>
      <x:c r="G16" s="9" t="n">
        <x:v>1</x:v>
      </x:c>
      <x:c r="H16" s="9" t="n">
        <x:v>25</x:v>
      </x:c>
      <x:c r="I16" s="9" t="n">
        <x:v>25</x:v>
      </x:c>
      <x:c r="J16" s="9" t="n">
        <x:v>27</x:v>
      </x:c>
      <x:c r="K16" s="43" t="n">
        <x:v>0.0625</x:v>
      </x:c>
      <x:c r="L16" s="9" t="str">
        <x:v>SW</x:v>
      </x:c>
      <x:c r="M16" s="9" t="str"/>
      <x:c r="N16" s="9" t="n">
        <x:v>3</x:v>
      </x:c>
    </x:row>
    <x:row r="17">
      <x:c r="A17" s="9" t="str">
        <x:v>M11</x:v>
      </x:c>
      <x:c r="B17" s="9" t="str">
        <x:v>2/3</x:v>
      </x:c>
      <x:c r="C17" s="9" t="str">
        <x:v>Weihnachtsdorf</x:v>
      </x:c>
      <x:c r="D17" s="9" t="str">
        <x:v>Weihnachtlicher Spielzeugladen</x:v>
      </x:c>
      <x:c r="E17" s="9" t="str">
        <x:v>10249</x:v>
      </x:c>
      <x:c r="F17" s="9" t="n">
        <x:v>1</x:v>
      </x:c>
      <x:c r="G17" s="9" t="n">
        <x:v>1</x:v>
      </x:c>
      <x:c r="H17" s="9" t="n">
        <x:v>19</x:v>
      </x:c>
      <x:c r="I17" s="9" t="n">
        <x:v>10</x:v>
      </x:c>
      <x:c r="J17" s="9" t="n">
        <x:v>17</x:v>
      </x:c>
      <x:c r="K17" s="43" t="n">
        <x:v>0.019</x:v>
      </x:c>
      <x:c r="L17" s="9" t="str">
        <x:v>NW</x:v>
      </x:c>
      <x:c r="M17" s="9" t="str"/>
      <x:c r="N17" s="9" t="n">
        <x:v>3</x:v>
      </x:c>
    </x:row>
    <x:row r="18">
      <x:c r="A18" s="9" t="str">
        <x:v>M35</x:v>
      </x:c>
      <x:c r="B18" s="9" t="str">
        <x:v>6/3</x:v>
      </x:c>
      <x:c r="C18" s="9" t="str">
        <x:v>Innenstadt</x:v>
      </x:c>
      <x:c r="D18" s="9" t="str">
        <x:v>Steine-Bank</x:v>
      </x:c>
      <x:c r="E18" s="9" t="str">
        <x:v>10251</x:v>
      </x:c>
      <x:c r="F18" s="9" t="n">
        <x:v>1</x:v>
      </x:c>
      <x:c r="G18" s="9" t="n">
        <x:v>1</x:v>
      </x:c>
      <x:c r="H18" s="9" t="n">
        <x:v>25</x:v>
      </x:c>
      <x:c r="I18" s="9" t="n">
        <x:v>25</x:v>
      </x:c>
      <x:c r="J18" s="9" t="n">
        <x:v>26</x:v>
      </x:c>
      <x:c r="K18" s="43" t="n">
        <x:v>0.0625</x:v>
      </x:c>
      <x:c r="L18" s="9" t="str">
        <x:v>SW</x:v>
      </x:c>
      <x:c r="M18" s="9" t="str"/>
      <x:c r="N18" s="9" t="n">
        <x:v>3</x:v>
      </x:c>
    </x:row>
    <x:row r="19">
      <x:c r="A19" s="9" t="str">
        <x:v>M11</x:v>
      </x:c>
      <x:c r="B19" s="9" t="str">
        <x:v>2/3</x:v>
      </x:c>
      <x:c r="C19" s="9" t="str">
        <x:v>Weihnachtsdorf</x:v>
      </x:c>
      <x:c r="D19" s="9" t="str">
        <x:v>Festlicher Weihnachtszug</x:v>
      </x:c>
      <x:c r="E19" s="9" t="str">
        <x:v>10254</x:v>
      </x:c>
      <x:c r="F19" s="9" t="n">
        <x:v>1</x:v>
      </x:c>
      <x:c r="G19" s="9" t="n">
        <x:v>1</x:v>
      </x:c>
      <x:c r="H19" s="9" t="n">
        <x:v>52</x:v>
      </x:c>
      <x:c r="I19" s="9" t="n">
        <x:v>7</x:v>
      </x:c>
      <x:c r="J19" s="9" t="n">
        <x:v>12</x:v>
      </x:c>
      <x:c r="K19" s="43" t="n">
        <x:v>0.0364</x:v>
      </x:c>
      <x:c r="L19" s="9" t="str">
        <x:v>NE</x:v>
      </x:c>
      <x:c r="M19" s="9" t="str"/>
      <x:c r="N19" s="9" t="n">
        <x:v>2</x:v>
      </x:c>
    </x:row>
    <x:row r="20">
      <x:c r="A20" s="9" t="str">
        <x:v>M27</x:v>
      </x:c>
      <x:c r="B20" s="9" t="str">
        <x:v>5/3</x:v>
      </x:c>
      <x:c r="C20" s="9" t="str">
        <x:v>Innenstadt</x:v>
      </x:c>
      <x:c r="D20" s="9" t="str">
        <x:v>Stadtleben</x:v>
      </x:c>
      <x:c r="E20" s="9" t="str">
        <x:v>10255</x:v>
      </x:c>
      <x:c r="F20" s="9" t="n">
        <x:v>1</x:v>
      </x:c>
      <x:c r="G20" s="9" t="n">
        <x:v>1</x:v>
      </x:c>
      <x:c r="H20" s="9" t="n">
        <x:v>38</x:v>
      </x:c>
      <x:c r="I20" s="9" t="n">
        <x:v>25</x:v>
      </x:c>
      <x:c r="J20" s="9" t="n">
        <x:v>35</x:v>
      </x:c>
      <x:c r="K20" s="43" t="n">
        <x:v>0.095</x:v>
      </x:c>
      <x:c r="L20" s="9" t="str">
        <x:v>SW</x:v>
      </x:c>
      <x:c r="M20" s="9" t="str"/>
      <x:c r="N20" s="9" t="n">
        <x:v>3</x:v>
      </x:c>
    </x:row>
    <x:row r="21">
      <x:c r="A21" s="9" t="str">
        <x:v>M36</x:v>
      </x:c>
      <x:c r="B21" s="9" t="str">
        <x:v>6/4</x:v>
      </x:c>
      <x:c r="C21" s="9" t="str">
        <x:v>Innenstadt</x:v>
      </x:c>
      <x:c r="D21" s="9" t="str">
        <x:v>Londoner Bus</x:v>
      </x:c>
      <x:c r="E21" s="9" t="str">
        <x:v>10258</x:v>
      </x:c>
      <x:c r="F21" s="9" t="n">
        <x:v>1</x:v>
      </x:c>
      <x:c r="G21" s="9" t="n">
        <x:v>1</x:v>
      </x:c>
      <x:c r="H21" s="9" t="n">
        <x:v>34</x:v>
      </x:c>
      <x:c r="I21" s="9" t="n">
        <x:v>13</x:v>
      </x:c>
      <x:c r="J21" s="9" t="n">
        <x:v>18</x:v>
      </x:c>
      <x:c r="K21" s="43" t="n">
        <x:v>0.0442</x:v>
      </x:c>
      <x:c r="L21" s="9" t="str">
        <x:v>SW</x:v>
      </x:c>
      <x:c r="M21" s="9" t="str"/>
      <x:c r="N21" s="9" t="n">
        <x:v>3</x:v>
      </x:c>
    </x:row>
    <x:row r="22">
      <x:c r="A22" s="9" t="str">
        <x:v>M12</x:v>
      </x:c>
      <x:c r="B22" s="9" t="str">
        <x:v>2/4</x:v>
      </x:c>
      <x:c r="C22" s="9" t="str">
        <x:v>Bahn</x:v>
      </x:c>
      <x:c r="D22" s="9" t="str">
        <x:v>Winterlicher Bahnhof</x:v>
      </x:c>
      <x:c r="E22" s="9" t="str">
        <x:v>10259</x:v>
      </x:c>
      <x:c r="F22" s="9" t="n">
        <x:v>1</x:v>
      </x:c>
      <x:c r="G22" s="9" t="n">
        <x:v>1</x:v>
      </x:c>
      <x:c r="H22" s="9" t="n">
        <x:v>28</x:v>
      </x:c>
      <x:c r="I22" s="9" t="n">
        <x:v>14</x:v>
      </x:c>
      <x:c r="J22" s="9" t="n">
        <x:v>19</x:v>
      </x:c>
      <x:c r="K22" s="43" t="n">
        <x:v>0.0392</x:v>
      </x:c>
      <x:c r="L22" s="9" t="str">
        <x:v>SE</x:v>
      </x:c>
      <x:c r="M22" s="9" t="str"/>
      <x:c r="N22" s="9" t="n">
        <x:v>2</x:v>
      </x:c>
    </x:row>
    <x:row r="23">
      <x:c r="A23" s="9" t="str">
        <x:v>M28</x:v>
      </x:c>
      <x:c r="B23" s="9" t="str">
        <x:v>5/4</x:v>
      </x:c>
      <x:c r="C23" s="9" t="str">
        <x:v>Innenstadt</x:v>
      </x:c>
      <x:c r="D23" s="9" t="str">
        <x:v>Amerikanisches Diner</x:v>
      </x:c>
      <x:c r="E23" s="9" t="str">
        <x:v>10260</x:v>
      </x:c>
      <x:c r="F23" s="9" t="n">
        <x:v>1</x:v>
      </x:c>
      <x:c r="G23" s="9" t="n">
        <x:v>1</x:v>
      </x:c>
      <x:c r="H23" s="9" t="n">
        <x:v>25</x:v>
      </x:c>
      <x:c r="I23" s="9" t="n">
        <x:v>25</x:v>
      </x:c>
      <x:c r="J23" s="9" t="n">
        <x:v>34</x:v>
      </x:c>
      <x:c r="K23" s="43" t="n">
        <x:v>0.0625</x:v>
      </x:c>
      <x:c r="L23" s="9" t="str">
        <x:v>SW</x:v>
      </x:c>
      <x:c r="M23" s="9" t="str"/>
      <x:c r="N23" s="9" t="n">
        <x:v>3</x:v>
      </x:c>
    </x:row>
    <x:row r="24">
      <x:c r="A24" s="9" t="str">
        <x:v>M01</x:v>
      </x:c>
      <x:c r="B24" s="9" t="str">
        <x:v>1/1</x:v>
      </x:c>
      <x:c r="C24" s="9" t="str">
        <x:v>Weihnachtsdorf</x:v>
      </x:c>
      <x:c r="D24" s="9" t="str">
        <x:v>Winterliche Feuerwache</x:v>
      </x:c>
      <x:c r="E24" s="9" t="str">
        <x:v>10263</x:v>
      </x:c>
      <x:c r="F24" s="9" t="n">
        <x:v>1</x:v>
      </x:c>
      <x:c r="G24" s="9" t="n">
        <x:v>2</x:v>
      </x:c>
      <x:c r="H24" s="9" t="n">
        <x:v>25</x:v>
      </x:c>
      <x:c r="I24" s="9" t="n">
        <x:v>14</x:v>
      </x:c>
      <x:c r="J24" s="9" t="n">
        <x:v>23</x:v>
      </x:c>
      <x:c r="K24" s="43" t="n">
        <x:v>0.035</x:v>
      </x:c>
      <x:c r="L24" s="9" t="str">
        <x:v>NE</x:v>
      </x:c>
      <x:c r="M24" s="9" t="str"/>
      <x:c r="N24" s="9" t="n">
        <x:v>3</x:v>
      </x:c>
    </x:row>
    <x:row r="25">
      <x:c r="A25" s="9" t="str">
        <x:v>M03</x:v>
      </x:c>
      <x:c r="B25" s="9" t="str">
        <x:v>1/3</x:v>
      </x:c>
      <x:c r="C25" s="9" t="str">
        <x:v>Weihnachtsdorf</x:v>
      </x:c>
      <x:c r="D25" s="9" t="str">
        <x:v>Winterliche Feuerwache</x:v>
      </x:c>
      <x:c r="E25" s="9" t="str">
        <x:v>10263</x:v>
      </x:c>
      <x:c r="F25" s="9" t="n">
        <x:v>2</x:v>
      </x:c>
      <x:c r="G25" s="9" t="n">
        <x:v>2</x:v>
      </x:c>
      <x:c r="H25" s="9" t="n">
        <x:v>25</x:v>
      </x:c>
      <x:c r="I25" s="9" t="n">
        <x:v>14</x:v>
      </x:c>
      <x:c r="J25" s="9" t="n">
        <x:v>23</x:v>
      </x:c>
      <x:c r="K25" s="43" t="n">
        <x:v>0.035</x:v>
      </x:c>
      <x:c r="L25" s="9" t="str">
        <x:v>NE</x:v>
      </x:c>
      <x:c r="M25" s="9" t="str"/>
      <x:c r="N25" s="9" t="n">
        <x:v>3</x:v>
      </x:c>
    </x:row>
    <x:row r="26">
      <x:c r="A26" s="9" t="str">
        <x:v>M36</x:v>
      </x:c>
      <x:c r="B26" s="9" t="str">
        <x:v>6/4</x:v>
      </x:c>
      <x:c r="C26" s="9" t="str">
        <x:v>Innenstadt</x:v>
      </x:c>
      <x:c r="D26" s="9" t="str">
        <x:v>Corner Garage</x:v>
      </x:c>
      <x:c r="E26" s="9" t="str">
        <x:v>10264</x:v>
      </x:c>
      <x:c r="F26" s="9" t="n">
        <x:v>1</x:v>
      </x:c>
      <x:c r="G26" s="9" t="n">
        <x:v>1</x:v>
      </x:c>
      <x:c r="H26" s="9" t="n">
        <x:v>26</x:v>
      </x:c>
      <x:c r="I26" s="9" t="n">
        <x:v>25</x:v>
      </x:c>
      <x:c r="J26" s="9" t="n">
        <x:v>32</x:v>
      </x:c>
      <x:c r="K26" s="43" t="n">
        <x:v>0.065</x:v>
      </x:c>
      <x:c r="L26" s="9" t="str">
        <x:v>SE</x:v>
      </x:c>
      <x:c r="M26" s="9" t="str"/>
      <x:c r="N26" s="9" t="n">
        <x:v>3</x:v>
      </x:c>
    </x:row>
    <x:row r="27">
      <x:c r="A27" s="9" t="str">
        <x:v>M32</x:v>
      </x:c>
      <x:c r="B27" s="9" t="str">
        <x:v>5/8</x:v>
      </x:c>
      <x:c r="C27" s="9" t="str">
        <x:v>Botanik/Technik</x:v>
      </x:c>
      <x:c r="D27" s="9" t="str">
        <x:v>NASA Apollo 11 Mondlandefähre</x:v>
      </x:c>
      <x:c r="E27" s="9" t="str">
        <x:v>10266</x:v>
      </x:c>
      <x:c r="F27" s="9" t="n">
        <x:v>1</x:v>
      </x:c>
      <x:c r="G27" s="9" t="n">
        <x:v>1</x:v>
      </x:c>
      <x:c r="H27" s="9" t="n">
        <x:v>22</x:v>
      </x:c>
      <x:c r="I27" s="9" t="n">
        <x:v>20</x:v>
      </x:c>
      <x:c r="J27" s="9" t="n">
        <x:v>20</x:v>
      </x:c>
      <x:c r="K27" s="43" t="n">
        <x:v>0.044</x:v>
      </x:c>
      <x:c r="L27" s="9" t="str">
        <x:v>NW</x:v>
      </x:c>
      <x:c r="M27" s="9" t="str"/>
      <x:c r="N27" s="9" t="n">
        <x:v>4</x:v>
      </x:c>
    </x:row>
    <x:row r="28">
      <x:c r="A28" s="9" t="str">
        <x:v>M10</x:v>
      </x:c>
      <x:c r="B28" s="9" t="str">
        <x:v>2/2</x:v>
      </x:c>
      <x:c r="C28" s="9" t="str">
        <x:v>Weihnachtsdorf</x:v>
      </x:c>
      <x:c r="D28" s="9" t="str">
        <x:v>Lebkuchenhaus</x:v>
      </x:c>
      <x:c r="E28" s="9" t="str">
        <x:v>10267</x:v>
      </x:c>
      <x:c r="F28" s="9" t="n">
        <x:v>1</x:v>
      </x:c>
      <x:c r="G28" s="9" t="n">
        <x:v>1</x:v>
      </x:c>
      <x:c r="H28" s="9" t="n">
        <x:v>26</x:v>
      </x:c>
      <x:c r="I28" s="9" t="n">
        <x:v>13</x:v>
      </x:c>
      <x:c r="J28" s="9" t="n">
        <x:v>21</x:v>
      </x:c>
      <x:c r="K28" s="43" t="n">
        <x:v>0.0338</x:v>
      </x:c>
      <x:c r="L28" s="9" t="str">
        <x:v>NE</x:v>
      </x:c>
      <x:c r="M28" s="9" t="str"/>
      <x:c r="N28" s="9" t="n">
        <x:v>3</x:v>
      </x:c>
    </x:row>
    <x:row r="29">
      <x:c r="A29" s="9" t="str">
        <x:v>M34</x:v>
      </x:c>
      <x:c r="B29" s="9" t="str">
        <x:v>6/2</x:v>
      </x:c>
      <x:c r="C29" s="9" t="str">
        <x:v>Innenstadt</x:v>
      </x:c>
      <x:c r="D29" s="9" t="str">
        <x:v>Buchhandlung</x:v>
      </x:c>
      <x:c r="E29" s="9" t="str">
        <x:v>10270</x:v>
      </x:c>
      <x:c r="F29" s="9" t="n">
        <x:v>1</x:v>
      </x:c>
      <x:c r="G29" s="9" t="n">
        <x:v>1</x:v>
      </x:c>
      <x:c r="H29" s="9" t="n">
        <x:v>25</x:v>
      </x:c>
      <x:c r="I29" s="9" t="n">
        <x:v>25</x:v>
      </x:c>
      <x:c r="J29" s="9" t="n">
        <x:v>29</x:v>
      </x:c>
      <x:c r="K29" s="43" t="n">
        <x:v>0.0625</x:v>
      </x:c>
      <x:c r="L29" s="9" t="str">
        <x:v>SE</x:v>
      </x:c>
      <x:c r="M29" s="9" t="str"/>
      <x:c r="N29" s="9" t="n">
        <x:v>3</x:v>
      </x:c>
    </x:row>
    <x:row r="30">
      <x:c r="A30" s="9" t="str">
        <x:v>M04</x:v>
      </x:c>
      <x:c r="B30" s="9" t="str">
        <x:v>1/4</x:v>
      </x:c>
      <x:c r="C30" s="9" t="str">
        <x:v>Weihnachtsdorf</x:v>
      </x:c>
      <x:c r="D30" s="9" t="str">
        <x:v>Elfen-Klubhaus</x:v>
      </x:c>
      <x:c r="E30" s="9" t="str">
        <x:v>10275</x:v>
      </x:c>
      <x:c r="F30" s="9" t="n">
        <x:v>1</x:v>
      </x:c>
      <x:c r="G30" s="9" t="n">
        <x:v>1</x:v>
      </x:c>
      <x:c r="H30" s="9"/>
      <x:c r="I30" s="9" t="n">
        <x:v>13</x:v>
      </x:c>
      <x:c r="J30" s="9" t="n">
        <x:v>22</x:v>
      </x:c>
      <x:c r="K30" s="43" t="n">
        <x:v>0.04</x:v>
      </x:c>
      <x:c r="L30" s="9" t="str">
        <x:v>NE</x:v>
      </x:c>
      <x:c r="M30" s="9" t="str"/>
      <x:c r="N30" s="9" t="n">
        <x:v>3</x:v>
      </x:c>
    </x:row>
    <x:row r="31">
      <x:c r="A31" s="9" t="str">
        <x:v>M35</x:v>
      </x:c>
      <x:c r="B31" s="9" t="str">
        <x:v>6/3</x:v>
      </x:c>
      <x:c r="C31" s="9" t="str">
        <x:v>Innenstadt</x:v>
      </x:c>
      <x:c r="D31" s="9" t="str">
        <x:v>Polizeistation</x:v>
      </x:c>
      <x:c r="E31" s="9" t="str">
        <x:v>10278</x:v>
      </x:c>
      <x:c r="F31" s="9" t="n">
        <x:v>1</x:v>
      </x:c>
      <x:c r="G31" s="9" t="n">
        <x:v>1</x:v>
      </x:c>
      <x:c r="H31" s="9" t="n">
        <x:v>25</x:v>
      </x:c>
      <x:c r="I31" s="9" t="n">
        <x:v>25</x:v>
      </x:c>
      <x:c r="J31" s="9" t="n">
        <x:v>37</x:v>
      </x:c>
      <x:c r="K31" s="43" t="n">
        <x:v>0.0625</x:v>
      </x:c>
      <x:c r="L31" s="9" t="str">
        <x:v>SE</x:v>
      </x:c>
      <x:c r="M31" s="9" t="str"/>
      <x:c r="N31" s="9" t="n">
        <x:v>3</x:v>
      </x:c>
    </x:row>
    <x:row r="32">
      <x:c r="A32" s="9" t="str">
        <x:v>M39</x:v>
      </x:c>
      <x:c r="B32" s="9" t="str">
        <x:v>6/7</x:v>
      </x:c>
      <x:c r="C32" s="9" t="str">
        <x:v>Botanik/Technik</x:v>
      </x:c>
      <x:c r="D32" s="9" t="str">
        <x:v>Blumenstrauß</x:v>
      </x:c>
      <x:c r="E32" s="9" t="str">
        <x:v>10280</x:v>
      </x:c>
      <x:c r="F32" s="9" t="n">
        <x:v>1</x:v>
      </x:c>
      <x:c r="G32" s="9" t="n">
        <x:v>1</x:v>
      </x:c>
      <x:c r="H32" s="9"/>
      <x:c r="I32" s="9"/>
      <x:c r="J32" s="9"/>
      <x:c r="K32" s="43" t="n">
        <x:v>0.035</x:v>
      </x:c>
      <x:c r="L32" s="9" t="str">
        <x:v>NW</x:v>
      </x:c>
      <x:c r="M32" s="9" t="str"/>
      <x:c r="N32" s="9" t="n">
        <x:v>4</x:v>
      </x:c>
    </x:row>
    <x:row r="33">
      <x:c r="A33" s="9" t="str">
        <x:v>M09</x:v>
      </x:c>
      <x:c r="B33" s="9" t="str">
        <x:v>2/1</x:v>
      </x:c>
      <x:c r="C33" s="9" t="str">
        <x:v>Weihnachtsdorf</x:v>
      </x:c>
      <x:c r="D33" s="9" t="str">
        <x:v>Besuch beim Weihnachtsmann</x:v>
      </x:c>
      <x:c r="E33" s="9" t="str">
        <x:v>10293</x:v>
      </x:c>
      <x:c r="F33" s="9" t="n">
        <x:v>1</x:v>
      </x:c>
      <x:c r="G33" s="9" t="n">
        <x:v>1</x:v>
      </x:c>
      <x:c r="H33" s="9" t="n">
        <x:v>27</x:v>
      </x:c>
      <x:c r="I33" s="9" t="n">
        <x:v>16</x:v>
      </x:c>
      <x:c r="J33" s="9" t="n">
        <x:v>19</x:v>
      </x:c>
      <x:c r="K33" s="43" t="n">
        <x:v>0.0432</x:v>
      </x:c>
      <x:c r="L33" s="9" t="str">
        <x:v>NE</x:v>
      </x:c>
      <x:c r="M33" s="9" t="str"/>
      <x:c r="N33" s="9" t="n">
        <x:v>3</x:v>
      </x:c>
    </x:row>
    <x:row r="34">
      <x:c r="A34" s="9" t="str">
        <x:v>M34</x:v>
      </x:c>
      <x:c r="B34" s="9" t="str">
        <x:v>6/2</x:v>
      </x:c>
      <x:c r="C34" s="9" t="str">
        <x:v>Innenstadt</x:v>
      </x:c>
      <x:c r="D34" s="9" t="str">
        <x:v>Boutique-Hotel</x:v>
      </x:c>
      <x:c r="E34" s="9" t="str">
        <x:v>10297</x:v>
      </x:c>
      <x:c r="F34" s="9" t="n">
        <x:v>1</x:v>
      </x:c>
      <x:c r="G34" s="9" t="n">
        <x:v>1</x:v>
      </x:c>
      <x:c r="H34" s="9" t="n">
        <x:v>25</x:v>
      </x:c>
      <x:c r="I34" s="9" t="n">
        <x:v>25</x:v>
      </x:c>
      <x:c r="J34" s="9" t="n">
        <x:v>33</x:v>
      </x:c>
      <x:c r="K34" s="43" t="n">
        <x:v>0.0625</x:v>
      </x:c>
      <x:c r="L34" s="9" t="str">
        <x:v>Mitte</x:v>
      </x:c>
      <x:c r="M34" s="9" t="str"/>
      <x:c r="N34" s="9" t="n">
        <x:v>3</x:v>
      </x:c>
    </x:row>
    <x:row r="35">
      <x:c r="A35" s="9" t="str">
        <x:v>M01</x:v>
      </x:c>
      <x:c r="B35" s="9" t="str">
        <x:v>1/1</x:v>
      </x:c>
      <x:c r="C35" s="9" t="str">
        <x:v>Weihnachtsdorf</x:v>
      </x:c>
      <x:c r="D35" s="9" t="str">
        <x:v>Weihnachtlich geschmtuckte Hauptst...</x:v>
      </x:c>
      <x:c r="E35" s="9" t="str">
        <x:v>10308</x:v>
      </x:c>
      <x:c r="F35" s="9" t="n">
        <x:v>1</x:v>
      </x:c>
      <x:c r="G35" s="9" t="n">
        <x:v>1</x:v>
      </x:c>
      <x:c r="H35" s="9" t="n">
        <x:v>17</x:v>
      </x:c>
      <x:c r="I35" s="9" t="n">
        <x:v>7</x:v>
      </x:c>
      <x:c r="J35" s="9" t="n">
        <x:v>10</x:v>
      </x:c>
      <x:c r="K35" s="43" t="n">
        <x:v>0.0119</x:v>
      </x:c>
      <x:c r="L35" s="9" t="str">
        <x:v>SW</x:v>
      </x:c>
      <x:c r="M35" s="9" t="str"/>
      <x:c r="N35" s="9" t="n">
        <x:v>3</x:v>
      </x:c>
    </x:row>
    <x:row r="36">
      <x:c r="A36" s="9" t="str">
        <x:v>M35</x:v>
      </x:c>
      <x:c r="B36" s="9" t="str">
        <x:v>6/3</x:v>
      </x:c>
      <x:c r="C36" s="9" t="str">
        <x:v>Innenstadt</x:v>
      </x:c>
      <x:c r="D36" s="9" t="str">
        <x:v>Jazzclub</x:v>
      </x:c>
      <x:c r="E36" s="9" t="str">
        <x:v>10312</x:v>
      </x:c>
      <x:c r="F36" s="9" t="n">
        <x:v>1</x:v>
      </x:c>
      <x:c r="G36" s="9" t="n">
        <x:v>1</x:v>
      </x:c>
      <x:c r="H36" s="9" t="n">
        <x:v>25</x:v>
      </x:c>
      <x:c r="I36" s="9" t="n">
        <x:v>26</x:v>
      </x:c>
      <x:c r="J36" s="9" t="n">
        <x:v>30</x:v>
      </x:c>
      <x:c r="K36" s="43" t="n">
        <x:v>0.065</x:v>
      </x:c>
      <x:c r="L36" s="9" t="str">
        <x:v>Mitte</x:v>
      </x:c>
      <x:c r="M36" s="9" t="str"/>
      <x:c r="N36" s="9" t="n">
        <x:v>3</x:v>
      </x:c>
    </x:row>
    <x:row r="37">
      <x:c r="A37" s="9" t="str">
        <x:v>M17</x:v>
      </x:c>
      <x:c r="B37" s="9" t="str">
        <x:v>3/1</x:v>
      </x:c>
      <x:c r="C37" s="9" t="str">
        <x:v>Hafen/Piraten</x:v>
      </x:c>
      <x:c r="D37" s="9" t="str">
        <x:v>Eldorado-Festung</x:v>
      </x:c>
      <x:c r="E37" s="9" t="str">
        <x:v>10320</x:v>
      </x:c>
      <x:c r="F37" s="9" t="n">
        <x:v>1</x:v>
      </x:c>
      <x:c r="G37" s="9" t="n">
        <x:v>1</x:v>
      </x:c>
      <x:c r="H37" s="9" t="n">
        <x:v>70</x:v>
      </x:c>
      <x:c r="I37" s="9" t="n">
        <x:v>24</x:v>
      </x:c>
      <x:c r="J37" s="9" t="n">
        <x:v>27</x:v>
      </x:c>
      <x:c r="K37" s="43" t="n">
        <x:v>0.168</x:v>
      </x:c>
      <x:c r="L37" s="9" t="str">
        <x:v>NE</x:v>
      </x:c>
      <x:c r="M37" s="9" t="str"/>
      <x:c r="N37" s="9" t="n">
        <x:v>2</x:v>
      </x:c>
    </x:row>
    <x:row r="38">
      <x:c r="A38" s="9" t="str">
        <x:v>M03</x:v>
      </x:c>
      <x:c r="B38" s="9" t="str">
        <x:v>1/3</x:v>
      </x:c>
      <x:c r="C38" s="9" t="str">
        <x:v>Weihnachtsdorf</x:v>
      </x:c>
      <x:c r="D38" s="9" t="str">
        <x:v>Almhütte</x:v>
      </x:c>
      <x:c r="E38" s="9" t="str">
        <x:v>10325</x:v>
      </x:c>
      <x:c r="F38" s="9" t="n">
        <x:v>1</x:v>
      </x:c>
      <x:c r="G38" s="9" t="n">
        <x:v>1</x:v>
      </x:c>
      <x:c r="H38" s="9" t="n">
        <x:v>24</x:v>
      </x:c>
      <x:c r="I38" s="9" t="n">
        <x:v>16</x:v>
      </x:c>
      <x:c r="J38" s="9" t="n">
        <x:v>21</x:v>
      </x:c>
      <x:c r="K38" s="43" t="n">
        <x:v>0.0384</x:v>
      </x:c>
      <x:c r="L38" s="9" t="str">
        <x:v>SW</x:v>
      </x:c>
      <x:c r="M38" s="9" t="str"/>
      <x:c r="N38" s="9" t="n">
        <x:v>3</x:v>
      </x:c>
    </x:row>
    <x:row r="39">
      <x:c r="A39" s="9" t="str">
        <x:v>M28</x:v>
      </x:c>
      <x:c r="B39" s="9" t="str">
        <x:v>5/4</x:v>
      </x:c>
      <x:c r="C39" s="9" t="str">
        <x:v>Innenstadt</x:v>
      </x:c>
      <x:c r="D39" s="9" t="str">
        <x:v>Naturhistorisches Museum</x:v>
      </x:c>
      <x:c r="E39" s="9" t="str">
        <x:v>10326</x:v>
      </x:c>
      <x:c r="F39" s="9" t="n">
        <x:v>1</x:v>
      </x:c>
      <x:c r="G39" s="9" t="n">
        <x:v>1</x:v>
      </x:c>
      <x:c r="H39" s="9" t="n">
        <x:v>39</x:v>
      </x:c>
      <x:c r="I39" s="9" t="n">
        <x:v>25</x:v>
      </x:c>
      <x:c r="J39" s="9" t="n">
        <x:v>31</x:v>
      </x:c>
      <x:c r="K39" s="43" t="n">
        <x:v>0.0975</x:v>
      </x:c>
      <x:c r="L39" s="9" t="str">
        <x:v>SE</x:v>
      </x:c>
      <x:c r="M39" s="9" t="str"/>
      <x:c r="N39" s="9" t="n">
        <x:v>3</x:v>
      </x:c>
    </x:row>
    <x:row r="40">
      <x:c r="A40" s="9" t="str">
        <x:v>M36</x:v>
      </x:c>
      <x:c r="B40" s="9" t="str">
        <x:v>6/4</x:v>
      </x:c>
      <x:c r="C40" s="9" t="str">
        <x:v>Innenstadt</x:v>
      </x:c>
      <x:c r="D40" s="9" t="str">
        <x:v>Mittelalterlicher Stadtplatz</x:v>
      </x:c>
      <x:c r="E40" s="9" t="str">
        <x:v>10332</x:v>
      </x:c>
      <x:c r="F40" s="9" t="n">
        <x:v>1</x:v>
      </x:c>
      <x:c r="G40" s="9" t="n">
        <x:v>1</x:v>
      </x:c>
      <x:c r="H40" s="9" t="n">
        <x:v>36</x:v>
      </x:c>
      <x:c r="I40" s="9" t="n">
        <x:v>12</x:v>
      </x:c>
      <x:c r="J40" s="9" t="n">
        <x:v>25</x:v>
      </x:c>
      <x:c r="K40" s="43" t="n">
        <x:v>0.0432</x:v>
      </x:c>
      <x:c r="L40" s="9" t="str">
        <x:v>Mitte</x:v>
      </x:c>
      <x:c r="M40" s="9" t="str"/>
      <x:c r="N40" s="9" t="n">
        <x:v>3</x:v>
      </x:c>
    </x:row>
    <x:row r="41">
      <x:c r="A41" s="9" t="str">
        <x:v>M10</x:v>
      </x:c>
      <x:c r="B41" s="9" t="str">
        <x:v>2/2</x:v>
      </x:c>
      <x:c r="C41" s="9" t="str">
        <x:v>Weihnachtsdorf</x:v>
      </x:c>
      <x:c r="D41" s="9" t="str">
        <x:v>Santa's Post Office</x:v>
      </x:c>
      <x:c r="E41" s="9" t="str">
        <x:v>10339</x:v>
      </x:c>
      <x:c r="F41" s="9" t="n">
        <x:v>1</x:v>
      </x:c>
      <x:c r="G41" s="9" t="n">
        <x:v>1</x:v>
      </x:c>
      <x:c r="H41" s="9" t="n">
        <x:v>28</x:v>
      </x:c>
      <x:c r="I41" s="9" t="n">
        <x:v>10</x:v>
      </x:c>
      <x:c r="J41" s="9" t="n">
        <x:v>21</x:v>
      </x:c>
      <x:c r="K41" s="43" t="n">
        <x:v>0.028</x:v>
      </x:c>
      <x:c r="L41" s="9" t="str">
        <x:v>SW</x:v>
      </x:c>
      <x:c r="M41" s="9" t="str"/>
      <x:c r="N41" s="9" t="n">
        <x:v>3</x:v>
      </x:c>
    </x:row>
    <x:row r="42">
      <x:c r="A42" s="9" t="str">
        <x:v>M40</x:v>
      </x:c>
      <x:c r="B42" s="9" t="str">
        <x:v>6/8</x:v>
      </x:c>
      <x:c r="C42" s="9" t="str">
        <x:v>Botanik/Technik</x:v>
      </x:c>
      <x:c r="D42" s="9" t="str">
        <x:v>Lucky Bamboo</x:v>
      </x:c>
      <x:c r="E42" s="9" t="str">
        <x:v>10344</x:v>
      </x:c>
      <x:c r="F42" s="9" t="n">
        <x:v>1</x:v>
      </x:c>
      <x:c r="G42" s="9" t="n">
        <x:v>1</x:v>
      </x:c>
      <x:c r="H42" s="9"/>
      <x:c r="I42" s="9"/>
      <x:c r="J42" s="9" t="n">
        <x:v>29</x:v>
      </x:c>
      <x:c r="K42" s="43" t="n">
        <x:v>0.035</x:v>
      </x:c>
      <x:c r="L42" s="9" t="str">
        <x:v>NW</x:v>
      </x:c>
      <x:c r="M42" s="9" t="str"/>
      <x:c r="N42" s="9" t="n">
        <x:v>4</x:v>
      </x:c>
    </x:row>
    <x:row r="43">
      <x:c r="A43" s="9" t="str">
        <x:v>M36</x:v>
      </x:c>
      <x:c r="B43" s="9" t="str">
        <x:v>6/4</x:v>
      </x:c>
      <x:c r="C43" s="9" t="str">
        <x:v>Innenstadt</x:v>
      </x:c>
      <x:c r="D43" s="9" t="str">
        <x:v>Eckhaus im Tudorstil</x:v>
      </x:c>
      <x:c r="E43" s="9" t="str">
        <x:v>10350</x:v>
      </x:c>
      <x:c r="F43" s="9" t="n">
        <x:v>1</x:v>
      </x:c>
      <x:c r="G43" s="9" t="n">
        <x:v>1</x:v>
      </x:c>
      <x:c r="H43" s="9" t="n">
        <x:v>26</x:v>
      </x:c>
      <x:c r="I43" s="9" t="n">
        <x:v>25</x:v>
      </x:c>
      <x:c r="J43" s="9" t="n">
        <x:v>31</x:v>
      </x:c>
      <x:c r="K43" s="43" t="n">
        <x:v>0.065</x:v>
      </x:c>
      <x:c r="L43" s="9" t="str">
        <x:v>Rand innen</x:v>
      </x:c>
      <x:c r="M43" s="9" t="str"/>
      <x:c r="N43" s="9" t="n">
        <x:v>3</x:v>
      </x:c>
    </x:row>
    <x:row r="44">
      <x:c r="A44" s="9" t="str">
        <x:v>M20</x:v>
      </x:c>
      <x:c r="B44" s="9" t="str">
        <x:v>3/8</x:v>
      </x:c>
      <x:c r="C44" s="9" t="str">
        <x:v>Disney/Springfield</x:v>
      </x:c>
      <x:c r="D44" s="9" t="str">
        <x:v>The Simpsons™: Krusty Burger</x:v>
      </x:c>
      <x:c r="E44" s="9" t="str">
        <x:v>10352</x:v>
      </x:c>
      <x:c r="F44" s="9" t="n">
        <x:v>1</x:v>
      </x:c>
      <x:c r="G44" s="9" t="n">
        <x:v>1</x:v>
      </x:c>
      <x:c r="H44" s="9" t="n">
        <x:v>24</x:v>
      </x:c>
      <x:c r="I44" s="9" t="n">
        <x:v>20</x:v>
      </x:c>
      <x:c r="J44" s="9" t="n">
        <x:v>23</x:v>
      </x:c>
      <x:c r="K44" s="43" t="n">
        <x:v>0.048</x:v>
      </x:c>
      <x:c r="L44" s="9" t="str">
        <x:v>NE</x:v>
      </x:c>
      <x:c r="M44" s="9" t="str"/>
      <x:c r="N44" s="9" t="n">
        <x:v>4</x:v>
      </x:c>
    </x:row>
    <x:row r="45">
      <x:c r="A45" s="9" t="str">
        <x:v>M38</x:v>
      </x:c>
      <x:c r="B45" s="9" t="str">
        <x:v>6/6</x:v>
      </x:c>
      <x:c r="C45" s="9" t="str">
        <x:v>Weltpark</x:v>
      </x:c>
      <x:c r="D45" s="9" t="str">
        <x:v>Der Herr der Ringe: Das Auenland</x:v>
      </x:c>
      <x:c r="E45" s="9" t="str">
        <x:v>10354</x:v>
      </x:c>
      <x:c r="F45" s="9" t="n">
        <x:v>1</x:v>
      </x:c>
      <x:c r="G45" s="9" t="n">
        <x:v>1</x:v>
      </x:c>
      <x:c r="H45" s="9" t="n">
        <x:v>45</x:v>
      </x:c>
      <x:c r="I45" s="9" t="n">
        <x:v>27</x:v>
      </x:c>
      <x:c r="J45" s="9" t="n">
        <x:v>20</x:v>
      </x:c>
      <x:c r="K45" s="43" t="n">
        <x:v>0.1215</x:v>
      </x:c>
      <x:c r="L45" s="9" t="str">
        <x:v>NE</x:v>
      </x:c>
      <x:c r="M45" s="9" t="str"/>
      <x:c r="N45" s="9" t="n">
        <x:v>3</x:v>
      </x:c>
    </x:row>
    <x:row r="46">
      <x:c r="A46" s="9" t="str">
        <x:v>M39</x:v>
      </x:c>
      <x:c r="B46" s="9" t="str">
        <x:v>6/7</x:v>
      </x:c>
      <x:c r="C46" s="9" t="str">
        <x:v>Botanik/Technik</x:v>
      </x:c>
      <x:c r="D46" s="9" t="str">
        <x:v>Springbrunnengarten</x:v>
      </x:c>
      <x:c r="E46" s="9" t="str">
        <x:v>10359</x:v>
      </x:c>
      <x:c r="F46" s="9" t="n">
        <x:v>1</x:v>
      </x:c>
      <x:c r="G46" s="9" t="n">
        <x:v>1</x:v>
      </x:c>
      <x:c r="H46" s="9" t="n">
        <x:v>29</x:v>
      </x:c>
      <x:c r="I46" s="9" t="n">
        <x:v>19</x:v>
      </x:c>
      <x:c r="J46" s="9" t="n">
        <x:v>15</x:v>
      </x:c>
      <x:c r="K46" s="43" t="n">
        <x:v>0.0551</x:v>
      </x:c>
      <x:c r="L46" s="9" t="str">
        <x:v>NE</x:v>
      </x:c>
      <x:c r="M46" s="9" t="str"/>
      <x:c r="N46" s="9" t="n">
        <x:v>4</x:v>
      </x:c>
    </x:row>
    <x:row r="47">
      <x:c r="A47" s="9" t="str">
        <x:v>M27</x:v>
      </x:c>
      <x:c r="B47" s="9" t="str">
        <x:v>5/3</x:v>
      </x:c>
      <x:c r="C47" s="9" t="str">
        <x:v>Innenstadt</x:v>
      </x:c>
      <x:c r="D47" s="9" t="str">
        <x:v>Französisches Café</x:v>
      </x:c>
      <x:c r="E47" s="9" t="str">
        <x:v>10362</x:v>
      </x:c>
      <x:c r="F47" s="9" t="n">
        <x:v>1</x:v>
      </x:c>
      <x:c r="G47" s="9" t="n">
        <x:v>1</x:v>
      </x:c>
      <x:c r="H47" s="9" t="n">
        <x:v>30</x:v>
      </x:c>
      <x:c r="I47" s="9" t="n">
        <x:v>6</x:v>
      </x:c>
      <x:c r="J47" s="9" t="n">
        <x:v>16</x:v>
      </x:c>
      <x:c r="K47" s="43" t="n">
        <x:v>0.018</x:v>
      </x:c>
      <x:c r="L47" s="9" t="str">
        <x:v>SE</x:v>
      </x:c>
      <x:c r="M47" s="9" t="str"/>
      <x:c r="N47" s="9" t="n">
        <x:v>3</x:v>
      </x:c>
    </x:row>
    <x:row r="48">
      <x:c r="A48" s="9" t="str">
        <x:v>M27</x:v>
      </x:c>
      <x:c r="B48" s="9" t="str">
        <x:v>5/3</x:v>
      </x:c>
      <x:c r="C48" s="9" t="str">
        <x:v>Innenstadt</x:v>
      </x:c>
      <x:c r="D48" s="9" t="str">
        <x:v>Hogwarts: Misslungener Vielsafttrank</x:v>
      </x:c>
      <x:c r="E48" s="9" t="str">
        <x:v>10390</x:v>
      </x:c>
      <x:c r="F48" s="9" t="n">
        <x:v>1</x:v>
      </x:c>
      <x:c r="G48" s="9" t="n">
        <x:v>1</x:v>
      </x:c>
      <x:c r="H48" s="9"/>
      <x:c r="I48" s="9"/>
      <x:c r="J48" s="9"/>
      <x:c r="K48" s="43" t="n">
        <x:v>0.065</x:v>
      </x:c>
      <x:c r="L48" s="9" t="str">
        <x:v>Mitte</x:v>
      </x:c>
      <x:c r="M48" s="9" t="str"/>
      <x:c r="N48" s="9" t="n">
        <x:v>3</x:v>
      </x:c>
    </x:row>
    <x:row r="49">
      <x:c r="A49" s="9" t="str">
        <x:v>M40</x:v>
      </x:c>
      <x:c r="B49" s="9" t="str">
        <x:v>6/8</x:v>
      </x:c>
      <x:c r="C49" s="9" t="str">
        <x:v>Botanik/Technik</x:v>
      </x:c>
      <x:c r="D49" s="9" t="str">
        <x:v>Grüne Bauplatte</x:v>
      </x:c>
      <x:c r="E49" s="9" t="str">
        <x:v>11023</x:v>
      </x:c>
      <x:c r="F49" s="9" t="n">
        <x:v>1</x:v>
      </x:c>
      <x:c r="G49" s="9" t="n">
        <x:v>10</x:v>
      </x:c>
      <x:c r="H49" s="9" t="n">
        <x:v>25.6</x:v>
      </x:c>
      <x:c r="I49" s="9" t="n">
        <x:v>25.6</x:v>
      </x:c>
      <x:c r="J49" s="9" t="n">
        <x:v>0.3</x:v>
      </x:c>
      <x:c r="K49" s="43" t="n">
        <x:v>0.0655</x:v>
      </x:c>
      <x:c r="L49" s="9" t="str">
        <x:v>NE</x:v>
      </x:c>
      <x:c r="M49" s="9" t="str"/>
      <x:c r="N49" s="9" t="n">
        <x:v>1</x:v>
      </x:c>
    </x:row>
    <x:row r="50">
      <x:c r="A50" s="9" t="str">
        <x:v>M32</x:v>
      </x:c>
      <x:c r="B50" s="9" t="str">
        <x:v>5/8</x:v>
      </x:c>
      <x:c r="C50" s="9" t="str">
        <x:v>Botanik/Technik</x:v>
      </x:c>
      <x:c r="D50" s="9" t="str">
        <x:v>Grüne Bauplatte</x:v>
      </x:c>
      <x:c r="E50" s="9" t="str">
        <x:v>11023</x:v>
      </x:c>
      <x:c r="F50" s="9" t="n">
        <x:v>2</x:v>
      </x:c>
      <x:c r="G50" s="9" t="n">
        <x:v>10</x:v>
      </x:c>
      <x:c r="H50" s="9" t="n">
        <x:v>25.6</x:v>
      </x:c>
      <x:c r="I50" s="9" t="n">
        <x:v>25.6</x:v>
      </x:c>
      <x:c r="J50" s="9" t="n">
        <x:v>0.3</x:v>
      </x:c>
      <x:c r="K50" s="43" t="n">
        <x:v>0.0655</x:v>
      </x:c>
      <x:c r="L50" s="9" t="str">
        <x:v>NE</x:v>
      </x:c>
      <x:c r="M50" s="9" t="str"/>
      <x:c r="N50" s="9" t="n">
        <x:v>1</x:v>
      </x:c>
    </x:row>
    <x:row r="51">
      <x:c r="A51" s="9" t="str">
        <x:v>M39</x:v>
      </x:c>
      <x:c r="B51" s="9" t="str">
        <x:v>6/7</x:v>
      </x:c>
      <x:c r="C51" s="9" t="str">
        <x:v>Botanik/Technik</x:v>
      </x:c>
      <x:c r="D51" s="9" t="str">
        <x:v>Grüne Bauplatte</x:v>
      </x:c>
      <x:c r="E51" s="9" t="str">
        <x:v>11023</x:v>
      </x:c>
      <x:c r="F51" s="9" t="n">
        <x:v>3</x:v>
      </x:c>
      <x:c r="G51" s="9" t="n">
        <x:v>10</x:v>
      </x:c>
      <x:c r="H51" s="9" t="n">
        <x:v>25.6</x:v>
      </x:c>
      <x:c r="I51" s="9" t="n">
        <x:v>25.6</x:v>
      </x:c>
      <x:c r="J51" s="9" t="n">
        <x:v>0.3</x:v>
      </x:c>
      <x:c r="K51" s="43" t="n">
        <x:v>0.0655</x:v>
      </x:c>
      <x:c r="L51" s="9" t="str">
        <x:v>SW</x:v>
      </x:c>
      <x:c r="M51" s="9" t="str"/>
      <x:c r="N51" s="9" t="n">
        <x:v>1</x:v>
      </x:c>
    </x:row>
    <x:row r="52">
      <x:c r="A52" s="9" t="str">
        <x:v>M40</x:v>
      </x:c>
      <x:c r="B52" s="9" t="str">
        <x:v>6/8</x:v>
      </x:c>
      <x:c r="C52" s="9" t="str">
        <x:v>Botanik/Technik</x:v>
      </x:c>
      <x:c r="D52" s="9" t="str">
        <x:v>Grüne Bauplatte</x:v>
      </x:c>
      <x:c r="E52" s="9" t="str">
        <x:v>11023</x:v>
      </x:c>
      <x:c r="F52" s="9" t="n">
        <x:v>4</x:v>
      </x:c>
      <x:c r="G52" s="9" t="n">
        <x:v>10</x:v>
      </x:c>
      <x:c r="H52" s="9" t="n">
        <x:v>25.6</x:v>
      </x:c>
      <x:c r="I52" s="9" t="n">
        <x:v>25.6</x:v>
      </x:c>
      <x:c r="J52" s="9" t="n">
        <x:v>0.3</x:v>
      </x:c>
      <x:c r="K52" s="43" t="n">
        <x:v>0.0655</x:v>
      </x:c>
      <x:c r="L52" s="9" t="str">
        <x:v>SW</x:v>
      </x:c>
      <x:c r="M52" s="9" t="str"/>
      <x:c r="N52" s="9" t="n">
        <x:v>1</x:v>
      </x:c>
    </x:row>
    <x:row r="53">
      <x:c r="A53" s="9" t="str">
        <x:v>M32</x:v>
      </x:c>
      <x:c r="B53" s="9" t="str">
        <x:v>5/8</x:v>
      </x:c>
      <x:c r="C53" s="9" t="str">
        <x:v>Botanik/Technik</x:v>
      </x:c>
      <x:c r="D53" s="9" t="str">
        <x:v>Grüne Bauplatte</x:v>
      </x:c>
      <x:c r="E53" s="9" t="str">
        <x:v>11023</x:v>
      </x:c>
      <x:c r="F53" s="9" t="n">
        <x:v>5</x:v>
      </x:c>
      <x:c r="G53" s="9" t="n">
        <x:v>10</x:v>
      </x:c>
      <x:c r="H53" s="9" t="n">
        <x:v>25.6</x:v>
      </x:c>
      <x:c r="I53" s="9" t="n">
        <x:v>25.6</x:v>
      </x:c>
      <x:c r="J53" s="9" t="n">
        <x:v>0.3</x:v>
      </x:c>
      <x:c r="K53" s="43" t="n">
        <x:v>0.0655</x:v>
      </x:c>
      <x:c r="L53" s="9" t="str">
        <x:v>SW</x:v>
      </x:c>
      <x:c r="M53" s="9" t="str"/>
      <x:c r="N53" s="9" t="n">
        <x:v>1</x:v>
      </x:c>
    </x:row>
    <x:row r="54">
      <x:c r="A54" s="9" t="str">
        <x:v>M31</x:v>
      </x:c>
      <x:c r="B54" s="9" t="str">
        <x:v>5/7</x:v>
      </x:c>
      <x:c r="C54" s="9" t="str">
        <x:v>Botanik/Technik</x:v>
      </x:c>
      <x:c r="D54" s="9" t="str">
        <x:v>Grüne Bauplatte</x:v>
      </x:c>
      <x:c r="E54" s="9" t="str">
        <x:v>11023</x:v>
      </x:c>
      <x:c r="F54" s="9" t="n">
        <x:v>6</x:v>
      </x:c>
      <x:c r="G54" s="9" t="n">
        <x:v>10</x:v>
      </x:c>
      <x:c r="H54" s="9" t="n">
        <x:v>25.6</x:v>
      </x:c>
      <x:c r="I54" s="9" t="n">
        <x:v>25.6</x:v>
      </x:c>
      <x:c r="J54" s="9" t="n">
        <x:v>0.3</x:v>
      </x:c>
      <x:c r="K54" s="43" t="n">
        <x:v>0.0655</x:v>
      </x:c>
      <x:c r="L54" s="9" t="str">
        <x:v>NE</x:v>
      </x:c>
      <x:c r="M54" s="9" t="str"/>
      <x:c r="N54" s="9" t="n">
        <x:v>1</x:v>
      </x:c>
    </x:row>
    <x:row r="55">
      <x:c r="A55" s="9" t="str">
        <x:v>M39</x:v>
      </x:c>
      <x:c r="B55" s="9" t="str">
        <x:v>6/7</x:v>
      </x:c>
      <x:c r="C55" s="9" t="str">
        <x:v>Botanik/Technik</x:v>
      </x:c>
      <x:c r="D55" s="9" t="str">
        <x:v>Grüne Bauplatte</x:v>
      </x:c>
      <x:c r="E55" s="9" t="str">
        <x:v>11023</x:v>
      </x:c>
      <x:c r="F55" s="9" t="n">
        <x:v>7</x:v>
      </x:c>
      <x:c r="G55" s="9" t="n">
        <x:v>10</x:v>
      </x:c>
      <x:c r="H55" s="9" t="n">
        <x:v>25.6</x:v>
      </x:c>
      <x:c r="I55" s="9" t="n">
        <x:v>25.6</x:v>
      </x:c>
      <x:c r="J55" s="9" t="n">
        <x:v>0.3</x:v>
      </x:c>
      <x:c r="K55" s="43" t="n">
        <x:v>0.0655</x:v>
      </x:c>
      <x:c r="L55" s="9" t="str">
        <x:v>SE</x:v>
      </x:c>
      <x:c r="M55" s="9" t="str"/>
      <x:c r="N55" s="9" t="n">
        <x:v>1</x:v>
      </x:c>
    </x:row>
    <x:row r="56">
      <x:c r="A56" s="9" t="str">
        <x:v>M40</x:v>
      </x:c>
      <x:c r="B56" s="9" t="str">
        <x:v>6/8</x:v>
      </x:c>
      <x:c r="C56" s="9" t="str">
        <x:v>Botanik/Technik</x:v>
      </x:c>
      <x:c r="D56" s="9" t="str">
        <x:v>Grüne Bauplatte</x:v>
      </x:c>
      <x:c r="E56" s="9" t="str">
        <x:v>11023</x:v>
      </x:c>
      <x:c r="F56" s="9" t="n">
        <x:v>8</x:v>
      </x:c>
      <x:c r="G56" s="9" t="n">
        <x:v>10</x:v>
      </x:c>
      <x:c r="H56" s="9" t="n">
        <x:v>25.6</x:v>
      </x:c>
      <x:c r="I56" s="9" t="n">
        <x:v>25.6</x:v>
      </x:c>
      <x:c r="J56" s="9" t="n">
        <x:v>0.3</x:v>
      </x:c>
      <x:c r="K56" s="43" t="n">
        <x:v>0.0655</x:v>
      </x:c>
      <x:c r="L56" s="9" t="str">
        <x:v>SE</x:v>
      </x:c>
      <x:c r="M56" s="9" t="str"/>
      <x:c r="N56" s="9" t="n">
        <x:v>1</x:v>
      </x:c>
    </x:row>
    <x:row r="57">
      <x:c r="A57" s="9" t="str">
        <x:v>M32</x:v>
      </x:c>
      <x:c r="B57" s="9" t="str">
        <x:v>5/8</x:v>
      </x:c>
      <x:c r="C57" s="9" t="str">
        <x:v>Botanik/Technik</x:v>
      </x:c>
      <x:c r="D57" s="9" t="str">
        <x:v>Grüne Bauplatte</x:v>
      </x:c>
      <x:c r="E57" s="9" t="str">
        <x:v>11023</x:v>
      </x:c>
      <x:c r="F57" s="9" t="n">
        <x:v>9</x:v>
      </x:c>
      <x:c r="G57" s="9" t="n">
        <x:v>10</x:v>
      </x:c>
      <x:c r="H57" s="9" t="n">
        <x:v>25.6</x:v>
      </x:c>
      <x:c r="I57" s="9" t="n">
        <x:v>25.6</x:v>
      </x:c>
      <x:c r="J57" s="9" t="n">
        <x:v>0.3</x:v>
      </x:c>
      <x:c r="K57" s="43" t="n">
        <x:v>0.0655</x:v>
      </x:c>
      <x:c r="L57" s="9" t="str">
        <x:v>SE</x:v>
      </x:c>
      <x:c r="M57" s="9" t="str"/>
      <x:c r="N57" s="9" t="n">
        <x:v>1</x:v>
      </x:c>
    </x:row>
    <x:row r="58">
      <x:c r="A58" s="9" t="str">
        <x:v>M31</x:v>
      </x:c>
      <x:c r="B58" s="9" t="str">
        <x:v>5/7</x:v>
      </x:c>
      <x:c r="C58" s="9" t="str">
        <x:v>Botanik/Technik</x:v>
      </x:c>
      <x:c r="D58" s="9" t="str">
        <x:v>Grüne Bauplatte</x:v>
      </x:c>
      <x:c r="E58" s="9" t="str">
        <x:v>11023</x:v>
      </x:c>
      <x:c r="F58" s="9" t="n">
        <x:v>10</x:v>
      </x:c>
      <x:c r="G58" s="9" t="n">
        <x:v>10</x:v>
      </x:c>
      <x:c r="H58" s="9" t="n">
        <x:v>25.6</x:v>
      </x:c>
      <x:c r="I58" s="9" t="n">
        <x:v>25.6</x:v>
      </x:c>
      <x:c r="J58" s="9" t="n">
        <x:v>0.3</x:v>
      </x:c>
      <x:c r="K58" s="43" t="n">
        <x:v>0.0655</x:v>
      </x:c>
      <x:c r="L58" s="9" t="str">
        <x:v>SW</x:v>
      </x:c>
      <x:c r="M58" s="9" t="str"/>
      <x:c r="N58" s="9" t="n">
        <x:v>1</x:v>
      </x:c>
    </x:row>
    <x:row r="59">
      <x:c r="A59" s="9" t="str">
        <x:v>M29</x:v>
      </x:c>
      <x:c r="B59" s="9" t="str">
        <x:v>5/5</x:v>
      </x:c>
      <x:c r="C59" s="9" t="str">
        <x:v>Weltpark</x:v>
      </x:c>
      <x:c r="D59" s="9" t="str">
        <x:v>Graue Bauplatte</x:v>
      </x:c>
      <x:c r="E59" s="9" t="str">
        <x:v>11024</x:v>
      </x:c>
      <x:c r="F59" s="9" t="n">
        <x:v>1</x:v>
      </x:c>
      <x:c r="G59" s="9" t="n">
        <x:v>20</x:v>
      </x:c>
      <x:c r="H59" s="9" t="n">
        <x:v>38.4</x:v>
      </x:c>
      <x:c r="I59" s="9" t="n">
        <x:v>38.4</x:v>
      </x:c>
      <x:c r="J59" s="9" t="n">
        <x:v>0.3</x:v>
      </x:c>
      <x:c r="K59" s="43" t="n">
        <x:v>0.1475</x:v>
      </x:c>
      <x:c r="L59" s="9" t="str">
        <x:v>NW</x:v>
      </x:c>
      <x:c r="M59" s="9" t="str"/>
      <x:c r="N59" s="9" t="n">
        <x:v>1</x:v>
      </x:c>
    </x:row>
    <x:row r="60">
      <x:c r="A60" s="9" t="str">
        <x:v>M30</x:v>
      </x:c>
      <x:c r="B60" s="9" t="str">
        <x:v>5/6</x:v>
      </x:c>
      <x:c r="C60" s="9" t="str">
        <x:v>Weltpark</x:v>
      </x:c>
      <x:c r="D60" s="9" t="str">
        <x:v>Graue Bauplatte</x:v>
      </x:c>
      <x:c r="E60" s="9" t="str">
        <x:v>11024</x:v>
      </x:c>
      <x:c r="F60" s="9" t="n">
        <x:v>2</x:v>
      </x:c>
      <x:c r="G60" s="9" t="n">
        <x:v>20</x:v>
      </x:c>
      <x:c r="H60" s="9" t="n">
        <x:v>38.4</x:v>
      </x:c>
      <x:c r="I60" s="9" t="n">
        <x:v>38.4</x:v>
      </x:c>
      <x:c r="J60" s="9" t="n">
        <x:v>0.3</x:v>
      </x:c>
      <x:c r="K60" s="43" t="n">
        <x:v>0.1475</x:v>
      </x:c>
      <x:c r="L60" s="9" t="str">
        <x:v>NW</x:v>
      </x:c>
      <x:c r="M60" s="9" t="str"/>
      <x:c r="N60" s="9" t="n">
        <x:v>1</x:v>
      </x:c>
    </x:row>
    <x:row r="61">
      <x:c r="A61" s="9" t="str">
        <x:v>M37</x:v>
      </x:c>
      <x:c r="B61" s="9" t="str">
        <x:v>6/5</x:v>
      </x:c>
      <x:c r="C61" s="9" t="str">
        <x:v>Weltpark</x:v>
      </x:c>
      <x:c r="D61" s="9" t="str">
        <x:v>Graue Bauplatte</x:v>
      </x:c>
      <x:c r="E61" s="9" t="str">
        <x:v>11024</x:v>
      </x:c>
      <x:c r="F61" s="9" t="n">
        <x:v>3</x:v>
      </x:c>
      <x:c r="G61" s="9" t="n">
        <x:v>20</x:v>
      </x:c>
      <x:c r="H61" s="9" t="n">
        <x:v>38.4</x:v>
      </x:c>
      <x:c r="I61" s="9" t="n">
        <x:v>38.4</x:v>
      </x:c>
      <x:c r="J61" s="9" t="n">
        <x:v>0.3</x:v>
      </x:c>
      <x:c r="K61" s="43" t="n">
        <x:v>0.1475</x:v>
      </x:c>
      <x:c r="L61" s="9" t="str">
        <x:v>NW</x:v>
      </x:c>
      <x:c r="M61" s="9" t="str"/>
      <x:c r="N61" s="9" t="n">
        <x:v>1</x:v>
      </x:c>
    </x:row>
    <x:row r="62">
      <x:c r="A62" s="9" t="str">
        <x:v>M20</x:v>
      </x:c>
      <x:c r="B62" s="9" t="str">
        <x:v>3/8</x:v>
      </x:c>
      <x:c r="C62" s="9" t="str">
        <x:v>Disney/Springfield</x:v>
      </x:c>
      <x:c r="D62" s="9" t="str">
        <x:v>Graue Bauplatte</x:v>
      </x:c>
      <x:c r="E62" s="9" t="str">
        <x:v>11024</x:v>
      </x:c>
      <x:c r="F62" s="9" t="n">
        <x:v>4</x:v>
      </x:c>
      <x:c r="G62" s="9" t="n">
        <x:v>20</x:v>
      </x:c>
      <x:c r="H62" s="9" t="n">
        <x:v>38.4</x:v>
      </x:c>
      <x:c r="I62" s="9" t="n">
        <x:v>38.4</x:v>
      </x:c>
      <x:c r="J62" s="9" t="n">
        <x:v>0.3</x:v>
      </x:c>
      <x:c r="K62" s="43" t="n">
        <x:v>0.1475</x:v>
      </x:c>
      <x:c r="L62" s="9" t="str">
        <x:v>SW</x:v>
      </x:c>
      <x:c r="M62" s="9" t="str"/>
      <x:c r="N62" s="9" t="n">
        <x:v>1</x:v>
      </x:c>
    </x:row>
    <x:row r="63">
      <x:c r="A63" s="9" t="str">
        <x:v>M23</x:v>
      </x:c>
      <x:c r="B63" s="9" t="str">
        <x:v>4/7</x:v>
      </x:c>
      <x:c r="C63" s="9" t="str">
        <x:v>Disney/Springfield</x:v>
      </x:c>
      <x:c r="D63" s="9" t="str">
        <x:v>Graue Bauplatte</x:v>
      </x:c>
      <x:c r="E63" s="9" t="str">
        <x:v>11024</x:v>
      </x:c>
      <x:c r="F63" s="9" t="n">
        <x:v>5</x:v>
      </x:c>
      <x:c r="G63" s="9" t="n">
        <x:v>20</x:v>
      </x:c>
      <x:c r="H63" s="9" t="n">
        <x:v>38.4</x:v>
      </x:c>
      <x:c r="I63" s="9" t="n">
        <x:v>38.4</x:v>
      </x:c>
      <x:c r="J63" s="9" t="n">
        <x:v>0.3</x:v>
      </x:c>
      <x:c r="K63" s="43" t="n">
        <x:v>0.1475</x:v>
      </x:c>
      <x:c r="L63" s="9" t="str">
        <x:v>NE</x:v>
      </x:c>
      <x:c r="M63" s="9" t="str"/>
      <x:c r="N63" s="9" t="n">
        <x:v>1</x:v>
      </x:c>
    </x:row>
    <x:row r="64">
      <x:c r="A64" s="9" t="str">
        <x:v>M24</x:v>
      </x:c>
      <x:c r="B64" s="9" t="str">
        <x:v>4/8</x:v>
      </x:c>
      <x:c r="C64" s="9" t="str">
        <x:v>Disney/Springfield</x:v>
      </x:c>
      <x:c r="D64" s="9" t="str">
        <x:v>Graue Bauplatte</x:v>
      </x:c>
      <x:c r="E64" s="9" t="str">
        <x:v>11024</x:v>
      </x:c>
      <x:c r="F64" s="9" t="n">
        <x:v>6</x:v>
      </x:c>
      <x:c r="G64" s="9" t="n">
        <x:v>20</x:v>
      </x:c>
      <x:c r="H64" s="9" t="n">
        <x:v>38.4</x:v>
      </x:c>
      <x:c r="I64" s="9" t="n">
        <x:v>38.4</x:v>
      </x:c>
      <x:c r="J64" s="9" t="n">
        <x:v>0.3</x:v>
      </x:c>
      <x:c r="K64" s="43" t="n">
        <x:v>0.1475</x:v>
      </x:c>
      <x:c r="L64" s="9" t="str">
        <x:v>NE</x:v>
      </x:c>
      <x:c r="M64" s="9" t="str"/>
      <x:c r="N64" s="9" t="n">
        <x:v>1</x:v>
      </x:c>
    </x:row>
    <x:row r="65">
      <x:c r="A65" s="9" t="str">
        <x:v>M19</x:v>
      </x:c>
      <x:c r="B65" s="9" t="str">
        <x:v>3/7</x:v>
      </x:c>
      <x:c r="C65" s="9" t="str">
        <x:v>Disney/Springfield</x:v>
      </x:c>
      <x:c r="D65" s="9" t="str">
        <x:v>Graue Bauplatte</x:v>
      </x:c>
      <x:c r="E65" s="9" t="str">
        <x:v>11024</x:v>
      </x:c>
      <x:c r="F65" s="9" t="n">
        <x:v>7</x:v>
      </x:c>
      <x:c r="G65" s="9" t="n">
        <x:v>20</x:v>
      </x:c>
      <x:c r="H65" s="9" t="n">
        <x:v>38.4</x:v>
      </x:c>
      <x:c r="I65" s="9" t="n">
        <x:v>38.4</x:v>
      </x:c>
      <x:c r="J65" s="9" t="n">
        <x:v>0.3</x:v>
      </x:c>
      <x:c r="K65" s="43" t="n">
        <x:v>0.1475</x:v>
      </x:c>
      <x:c r="L65" s="9" t="str">
        <x:v>NE</x:v>
      </x:c>
      <x:c r="M65" s="9" t="str"/>
      <x:c r="N65" s="9" t="n">
        <x:v>1</x:v>
      </x:c>
    </x:row>
    <x:row r="66">
      <x:c r="A66" s="9" t="str">
        <x:v>M29</x:v>
      </x:c>
      <x:c r="B66" s="9" t="str">
        <x:v>5/5</x:v>
      </x:c>
      <x:c r="C66" s="9" t="str">
        <x:v>Weltpark</x:v>
      </x:c>
      <x:c r="D66" s="9" t="str">
        <x:v>Graue Bauplatte</x:v>
      </x:c>
      <x:c r="E66" s="9" t="str">
        <x:v>11024</x:v>
      </x:c>
      <x:c r="F66" s="9" t="n">
        <x:v>8</x:v>
      </x:c>
      <x:c r="G66" s="9" t="n">
        <x:v>20</x:v>
      </x:c>
      <x:c r="H66" s="9" t="n">
        <x:v>38.4</x:v>
      </x:c>
      <x:c r="I66" s="9" t="n">
        <x:v>38.4</x:v>
      </x:c>
      <x:c r="J66" s="9" t="n">
        <x:v>0.3</x:v>
      </x:c>
      <x:c r="K66" s="43" t="n">
        <x:v>0.1475</x:v>
      </x:c>
      <x:c r="L66" s="9" t="str">
        <x:v>NE</x:v>
      </x:c>
      <x:c r="M66" s="9" t="str"/>
      <x:c r="N66" s="9" t="n">
        <x:v>1</x:v>
      </x:c>
    </x:row>
    <x:row r="67">
      <x:c r="A67" s="9" t="str">
        <x:v>M30</x:v>
      </x:c>
      <x:c r="B67" s="9" t="str">
        <x:v>5/6</x:v>
      </x:c>
      <x:c r="C67" s="9" t="str">
        <x:v>Weltpark</x:v>
      </x:c>
      <x:c r="D67" s="9" t="str">
        <x:v>Graue Bauplatte</x:v>
      </x:c>
      <x:c r="E67" s="9" t="str">
        <x:v>11024</x:v>
      </x:c>
      <x:c r="F67" s="9" t="n">
        <x:v>9</x:v>
      </x:c>
      <x:c r="G67" s="9" t="n">
        <x:v>20</x:v>
      </x:c>
      <x:c r="H67" s="9" t="n">
        <x:v>38.4</x:v>
      </x:c>
      <x:c r="I67" s="9" t="n">
        <x:v>38.4</x:v>
      </x:c>
      <x:c r="J67" s="9" t="n">
        <x:v>0.3</x:v>
      </x:c>
      <x:c r="K67" s="43" t="n">
        <x:v>0.1475</x:v>
      </x:c>
      <x:c r="L67" s="9" t="str">
        <x:v>NE</x:v>
      </x:c>
      <x:c r="M67" s="9" t="str"/>
      <x:c r="N67" s="9" t="n">
        <x:v>1</x:v>
      </x:c>
    </x:row>
    <x:row r="68">
      <x:c r="A68" s="9" t="str">
        <x:v>M37</x:v>
      </x:c>
      <x:c r="B68" s="9" t="str">
        <x:v>6/5</x:v>
      </x:c>
      <x:c r="C68" s="9" t="str">
        <x:v>Weltpark</x:v>
      </x:c>
      <x:c r="D68" s="9" t="str">
        <x:v>Graue Bauplatte</x:v>
      </x:c>
      <x:c r="E68" s="9" t="str">
        <x:v>11024</x:v>
      </x:c>
      <x:c r="F68" s="9" t="n">
        <x:v>10</x:v>
      </x:c>
      <x:c r="G68" s="9" t="n">
        <x:v>20</x:v>
      </x:c>
      <x:c r="H68" s="9" t="n">
        <x:v>38.4</x:v>
      </x:c>
      <x:c r="I68" s="9" t="n">
        <x:v>38.4</x:v>
      </x:c>
      <x:c r="J68" s="9" t="n">
        <x:v>0.3</x:v>
      </x:c>
      <x:c r="K68" s="43" t="n">
        <x:v>0.1475</x:v>
      </x:c>
      <x:c r="L68" s="9" t="str">
        <x:v>NE</x:v>
      </x:c>
      <x:c r="M68" s="9" t="str"/>
      <x:c r="N68" s="9" t="n">
        <x:v>1</x:v>
      </x:c>
    </x:row>
    <x:row r="69">
      <x:c r="A69" s="9" t="str">
        <x:v>M12</x:v>
      </x:c>
      <x:c r="B69" s="9" t="str">
        <x:v>2/4</x:v>
      </x:c>
      <x:c r="C69" s="9" t="str">
        <x:v>Bahn</x:v>
      </x:c>
      <x:c r="D69" s="9" t="str">
        <x:v>Graue Bauplatte</x:v>
      </x:c>
      <x:c r="E69" s="9" t="str">
        <x:v>11024</x:v>
      </x:c>
      <x:c r="F69" s="9" t="n">
        <x:v>11</x:v>
      </x:c>
      <x:c r="G69" s="9" t="n">
        <x:v>20</x:v>
      </x:c>
      <x:c r="H69" s="9" t="n">
        <x:v>38.4</x:v>
      </x:c>
      <x:c r="I69" s="9" t="n">
        <x:v>38.4</x:v>
      </x:c>
      <x:c r="J69" s="9" t="n">
        <x:v>0.3</x:v>
      </x:c>
      <x:c r="K69" s="43" t="n">
        <x:v>0.1475</x:v>
      </x:c>
      <x:c r="L69" s="9" t="str">
        <x:v>Mitte</x:v>
      </x:c>
      <x:c r="M69" s="9" t="str"/>
      <x:c r="N69" s="9" t="n">
        <x:v>1</x:v>
      </x:c>
    </x:row>
    <x:row r="70">
      <x:c r="A70" s="9" t="str">
        <x:v>M38</x:v>
      </x:c>
      <x:c r="B70" s="9" t="str">
        <x:v>6/6</x:v>
      </x:c>
      <x:c r="C70" s="9" t="str">
        <x:v>Weltpark</x:v>
      </x:c>
      <x:c r="D70" s="9" t="str">
        <x:v>Graue Bauplatte</x:v>
      </x:c>
      <x:c r="E70" s="9" t="str">
        <x:v>11024</x:v>
      </x:c>
      <x:c r="F70" s="9" t="n">
        <x:v>12</x:v>
      </x:c>
      <x:c r="G70" s="9" t="n">
        <x:v>20</x:v>
      </x:c>
      <x:c r="H70" s="9" t="n">
        <x:v>38.4</x:v>
      </x:c>
      <x:c r="I70" s="9" t="n">
        <x:v>38.4</x:v>
      </x:c>
      <x:c r="J70" s="9" t="n">
        <x:v>0.3</x:v>
      </x:c>
      <x:c r="K70" s="43" t="n">
        <x:v>0.1475</x:v>
      </x:c>
      <x:c r="L70" s="9" t="str">
        <x:v>SW</x:v>
      </x:c>
      <x:c r="M70" s="9" t="str"/>
      <x:c r="N70" s="9" t="n">
        <x:v>1</x:v>
      </x:c>
    </x:row>
    <x:row r="71">
      <x:c r="A71" s="9" t="str">
        <x:v>M20</x:v>
      </x:c>
      <x:c r="B71" s="9" t="str">
        <x:v>3/8</x:v>
      </x:c>
      <x:c r="C71" s="9" t="str">
        <x:v>Disney/Springfield</x:v>
      </x:c>
      <x:c r="D71" s="9" t="str">
        <x:v>Graue Bauplatte</x:v>
      </x:c>
      <x:c r="E71" s="9" t="str">
        <x:v>11024</x:v>
      </x:c>
      <x:c r="F71" s="9" t="n">
        <x:v>13</x:v>
      </x:c>
      <x:c r="G71" s="9" t="n">
        <x:v>20</x:v>
      </x:c>
      <x:c r="H71" s="9" t="n">
        <x:v>38.4</x:v>
      </x:c>
      <x:c r="I71" s="9" t="n">
        <x:v>38.4</x:v>
      </x:c>
      <x:c r="J71" s="9" t="n">
        <x:v>0.3</x:v>
      </x:c>
      <x:c r="K71" s="43" t="n">
        <x:v>0.1475</x:v>
      </x:c>
      <x:c r="L71" s="9" t="str">
        <x:v>SE</x:v>
      </x:c>
      <x:c r="M71" s="9" t="str"/>
      <x:c r="N71" s="9" t="n">
        <x:v>1</x:v>
      </x:c>
    </x:row>
    <x:row r="72">
      <x:c r="A72" s="9" t="str">
        <x:v>M23</x:v>
      </x:c>
      <x:c r="B72" s="9" t="str">
        <x:v>4/7</x:v>
      </x:c>
      <x:c r="C72" s="9" t="str">
        <x:v>Disney/Springfield</x:v>
      </x:c>
      <x:c r="D72" s="9" t="str">
        <x:v>Graue Bauplatte</x:v>
      </x:c>
      <x:c r="E72" s="9" t="str">
        <x:v>11024</x:v>
      </x:c>
      <x:c r="F72" s="9" t="n">
        <x:v>14</x:v>
      </x:c>
      <x:c r="G72" s="9" t="n">
        <x:v>20</x:v>
      </x:c>
      <x:c r="H72" s="9" t="n">
        <x:v>38.4</x:v>
      </x:c>
      <x:c r="I72" s="9" t="n">
        <x:v>38.4</x:v>
      </x:c>
      <x:c r="J72" s="9" t="n">
        <x:v>0.3</x:v>
      </x:c>
      <x:c r="K72" s="43" t="n">
        <x:v>0.1475</x:v>
      </x:c>
      <x:c r="L72" s="9" t="str">
        <x:v>SW</x:v>
      </x:c>
      <x:c r="M72" s="9" t="str"/>
      <x:c r="N72" s="9" t="n">
        <x:v>1</x:v>
      </x:c>
    </x:row>
    <x:row r="73">
      <x:c r="A73" s="9" t="str">
        <x:v>M24</x:v>
      </x:c>
      <x:c r="B73" s="9" t="str">
        <x:v>4/8</x:v>
      </x:c>
      <x:c r="C73" s="9" t="str">
        <x:v>Disney/Springfield</x:v>
      </x:c>
      <x:c r="D73" s="9" t="str">
        <x:v>Graue Bauplatte</x:v>
      </x:c>
      <x:c r="E73" s="9" t="str">
        <x:v>11024</x:v>
      </x:c>
      <x:c r="F73" s="9" t="n">
        <x:v>15</x:v>
      </x:c>
      <x:c r="G73" s="9" t="n">
        <x:v>20</x:v>
      </x:c>
      <x:c r="H73" s="9" t="n">
        <x:v>38.4</x:v>
      </x:c>
      <x:c r="I73" s="9" t="n">
        <x:v>38.4</x:v>
      </x:c>
      <x:c r="J73" s="9" t="n">
        <x:v>0.3</x:v>
      </x:c>
      <x:c r="K73" s="43" t="n">
        <x:v>0.1475</x:v>
      </x:c>
      <x:c r="L73" s="9" t="str">
        <x:v>SW</x:v>
      </x:c>
      <x:c r="M73" s="9" t="str"/>
      <x:c r="N73" s="9" t="n">
        <x:v>1</x:v>
      </x:c>
    </x:row>
    <x:row r="74">
      <x:c r="A74" s="9" t="str">
        <x:v>M19</x:v>
      </x:c>
      <x:c r="B74" s="9" t="str">
        <x:v>3/7</x:v>
      </x:c>
      <x:c r="C74" s="9" t="str">
        <x:v>Disney/Springfield</x:v>
      </x:c>
      <x:c r="D74" s="9" t="str">
        <x:v>Graue Bauplatte</x:v>
      </x:c>
      <x:c r="E74" s="9" t="str">
        <x:v>11024</x:v>
      </x:c>
      <x:c r="F74" s="9" t="n">
        <x:v>16</x:v>
      </x:c>
      <x:c r="G74" s="9" t="n">
        <x:v>20</x:v>
      </x:c>
      <x:c r="H74" s="9" t="n">
        <x:v>38.4</x:v>
      </x:c>
      <x:c r="I74" s="9" t="n">
        <x:v>38.4</x:v>
      </x:c>
      <x:c r="J74" s="9" t="n">
        <x:v>0.3</x:v>
      </x:c>
      <x:c r="K74" s="43" t="n">
        <x:v>0.1475</x:v>
      </x:c>
      <x:c r="L74" s="9" t="str">
        <x:v>SW</x:v>
      </x:c>
      <x:c r="M74" s="9" t="str"/>
      <x:c r="N74" s="9" t="n">
        <x:v>1</x:v>
      </x:c>
    </x:row>
    <x:row r="75">
      <x:c r="A75" s="9" t="str">
        <x:v>M29</x:v>
      </x:c>
      <x:c r="B75" s="9" t="str">
        <x:v>5/5</x:v>
      </x:c>
      <x:c r="C75" s="9" t="str">
        <x:v>Weltpark</x:v>
      </x:c>
      <x:c r="D75" s="9" t="str">
        <x:v>Graue Bauplatte</x:v>
      </x:c>
      <x:c r="E75" s="9" t="str">
        <x:v>11024</x:v>
      </x:c>
      <x:c r="F75" s="9" t="n">
        <x:v>17</x:v>
      </x:c>
      <x:c r="G75" s="9" t="n">
        <x:v>20</x:v>
      </x:c>
      <x:c r="H75" s="9" t="n">
        <x:v>38.4</x:v>
      </x:c>
      <x:c r="I75" s="9" t="n">
        <x:v>38.4</x:v>
      </x:c>
      <x:c r="J75" s="9" t="n">
        <x:v>0.3</x:v>
      </x:c>
      <x:c r="K75" s="43" t="n">
        <x:v>0.1475</x:v>
      </x:c>
      <x:c r="L75" s="9" t="str">
        <x:v>SW</x:v>
      </x:c>
      <x:c r="M75" s="9" t="str"/>
      <x:c r="N75" s="9" t="n">
        <x:v>1</x:v>
      </x:c>
    </x:row>
    <x:row r="76">
      <x:c r="A76" s="9" t="str">
        <x:v>M30</x:v>
      </x:c>
      <x:c r="B76" s="9" t="str">
        <x:v>5/6</x:v>
      </x:c>
      <x:c r="C76" s="9" t="str">
        <x:v>Weltpark</x:v>
      </x:c>
      <x:c r="D76" s="9" t="str">
        <x:v>Graue Bauplatte</x:v>
      </x:c>
      <x:c r="E76" s="9" t="str">
        <x:v>11024</x:v>
      </x:c>
      <x:c r="F76" s="9" t="n">
        <x:v>18</x:v>
      </x:c>
      <x:c r="G76" s="9" t="n">
        <x:v>20</x:v>
      </x:c>
      <x:c r="H76" s="9" t="n">
        <x:v>38.4</x:v>
      </x:c>
      <x:c r="I76" s="9" t="n">
        <x:v>38.4</x:v>
      </x:c>
      <x:c r="J76" s="9" t="n">
        <x:v>0.3</x:v>
      </x:c>
      <x:c r="K76" s="43" t="n">
        <x:v>0.1475</x:v>
      </x:c>
      <x:c r="L76" s="9" t="str">
        <x:v>SW</x:v>
      </x:c>
      <x:c r="M76" s="9" t="str"/>
      <x:c r="N76" s="9" t="n">
        <x:v>1</x:v>
      </x:c>
    </x:row>
    <x:row r="77">
      <x:c r="A77" s="9" t="str">
        <x:v>M37</x:v>
      </x:c>
      <x:c r="B77" s="9" t="str">
        <x:v>6/5</x:v>
      </x:c>
      <x:c r="C77" s="9" t="str">
        <x:v>Weltpark</x:v>
      </x:c>
      <x:c r="D77" s="9" t="str">
        <x:v>Graue Bauplatte</x:v>
      </x:c>
      <x:c r="E77" s="9" t="str">
        <x:v>11024</x:v>
      </x:c>
      <x:c r="F77" s="9" t="n">
        <x:v>19</x:v>
      </x:c>
      <x:c r="G77" s="9" t="n">
        <x:v>20</x:v>
      </x:c>
      <x:c r="H77" s="9" t="n">
        <x:v>38.4</x:v>
      </x:c>
      <x:c r="I77" s="9" t="n">
        <x:v>38.4</x:v>
      </x:c>
      <x:c r="J77" s="9" t="n">
        <x:v>0.3</x:v>
      </x:c>
      <x:c r="K77" s="43" t="n">
        <x:v>0.1475</x:v>
      </x:c>
      <x:c r="L77" s="9" t="str">
        <x:v>SW</x:v>
      </x:c>
      <x:c r="M77" s="9" t="str"/>
      <x:c r="N77" s="9" t="n">
        <x:v>1</x:v>
      </x:c>
    </x:row>
    <x:row r="78">
      <x:c r="A78" s="9" t="str">
        <x:v>M34</x:v>
      </x:c>
      <x:c r="B78" s="9" t="str">
        <x:v>6/2</x:v>
      </x:c>
      <x:c r="C78" s="9" t="str">
        <x:v>Innenstadt</x:v>
      </x:c>
      <x:c r="D78" s="9" t="str">
        <x:v>Graue Bauplatte</x:v>
      </x:c>
      <x:c r="E78" s="9" t="str">
        <x:v>11024</x:v>
      </x:c>
      <x:c r="F78" s="9" t="n">
        <x:v>20</x:v>
      </x:c>
      <x:c r="G78" s="9" t="n">
        <x:v>20</x:v>
      </x:c>
      <x:c r="H78" s="9" t="n">
        <x:v>38.4</x:v>
      </x:c>
      <x:c r="I78" s="9" t="n">
        <x:v>38.4</x:v>
      </x:c>
      <x:c r="J78" s="9" t="n">
        <x:v>0.3</x:v>
      </x:c>
      <x:c r="K78" s="43" t="n">
        <x:v>0.1475</x:v>
      </x:c>
      <x:c r="L78" s="9" t="str">
        <x:v>Rand innen</x:v>
      </x:c>
      <x:c r="M78" s="9" t="str"/>
      <x:c r="N78" s="9" t="n">
        <x:v>1</x:v>
      </x:c>
    </x:row>
    <x:row r="79">
      <x:c r="A79" s="9" t="str">
        <x:v>M18</x:v>
      </x:c>
      <x:c r="B79" s="9" t="str">
        <x:v>3/2</x:v>
      </x:c>
      <x:c r="C79" s="9" t="str">
        <x:v>Hafen/Piraten</x:v>
      </x:c>
      <x:c r="D79" s="9" t="str">
        <x:v>Blaue Bauplatte</x:v>
      </x:c>
      <x:c r="E79" s="9" t="str">
        <x:v>11025</x:v>
      </x:c>
      <x:c r="F79" s="9" t="n">
        <x:v>1</x:v>
      </x:c>
      <x:c r="G79" s="9" t="n">
        <x:v>10</x:v>
      </x:c>
      <x:c r="H79" s="9" t="n">
        <x:v>25.6</x:v>
      </x:c>
      <x:c r="I79" s="9" t="n">
        <x:v>25.6</x:v>
      </x:c>
      <x:c r="J79" s="9" t="n">
        <x:v>0.3</x:v>
      </x:c>
      <x:c r="K79" s="43" t="n">
        <x:v>0.0655</x:v>
      </x:c>
      <x:c r="L79" s="9" t="str">
        <x:v>NW</x:v>
      </x:c>
      <x:c r="M79" s="9" t="str"/>
      <x:c r="N79" s="9" t="n">
        <x:v>1</x:v>
      </x:c>
    </x:row>
    <x:row r="80">
      <x:c r="A80" s="9" t="str">
        <x:v>M21</x:v>
      </x:c>
      <x:c r="B80" s="9" t="str">
        <x:v>4/1</x:v>
      </x:c>
      <x:c r="C80" s="9" t="str">
        <x:v>Hafen/Piraten</x:v>
      </x:c>
      <x:c r="D80" s="9" t="str">
        <x:v>Blaue Bauplatte</x:v>
      </x:c>
      <x:c r="E80" s="9" t="str">
        <x:v>11025</x:v>
      </x:c>
      <x:c r="F80" s="9" t="n">
        <x:v>2</x:v>
      </x:c>
      <x:c r="G80" s="9" t="n">
        <x:v>10</x:v>
      </x:c>
      <x:c r="H80" s="9" t="n">
        <x:v>25.6</x:v>
      </x:c>
      <x:c r="I80" s="9" t="n">
        <x:v>25.6</x:v>
      </x:c>
      <x:c r="J80" s="9" t="n">
        <x:v>0.3</x:v>
      </x:c>
      <x:c r="K80" s="43" t="n">
        <x:v>0.0655</x:v>
      </x:c>
      <x:c r="L80" s="9" t="str">
        <x:v>NW</x:v>
      </x:c>
      <x:c r="M80" s="9" t="str"/>
      <x:c r="N80" s="9" t="n">
        <x:v>1</x:v>
      </x:c>
    </x:row>
    <x:row r="81">
      <x:c r="A81" s="9" t="str">
        <x:v>M22</x:v>
      </x:c>
      <x:c r="B81" s="9" t="str">
        <x:v>4/2</x:v>
      </x:c>
      <x:c r="C81" s="9" t="str">
        <x:v>Hafen/Piraten</x:v>
      </x:c>
      <x:c r="D81" s="9" t="str">
        <x:v>Blaue Bauplatte</x:v>
      </x:c>
      <x:c r="E81" s="9" t="str">
        <x:v>11025</x:v>
      </x:c>
      <x:c r="F81" s="9" t="n">
        <x:v>3</x:v>
      </x:c>
      <x:c r="G81" s="9" t="n">
        <x:v>10</x:v>
      </x:c>
      <x:c r="H81" s="9" t="n">
        <x:v>25.6</x:v>
      </x:c>
      <x:c r="I81" s="9" t="n">
        <x:v>25.6</x:v>
      </x:c>
      <x:c r="J81" s="9" t="n">
        <x:v>0.3</x:v>
      </x:c>
      <x:c r="K81" s="43" t="n">
        <x:v>0.0655</x:v>
      </x:c>
      <x:c r="L81" s="9" t="str">
        <x:v>NW</x:v>
      </x:c>
      <x:c r="M81" s="9" t="str"/>
      <x:c r="N81" s="9" t="n">
        <x:v>1</x:v>
      </x:c>
    </x:row>
    <x:row r="82">
      <x:c r="A82" s="9" t="str">
        <x:v>M25</x:v>
      </x:c>
      <x:c r="B82" s="9" t="str">
        <x:v>5/1</x:v>
      </x:c>
      <x:c r="C82" s="9" t="str">
        <x:v>Hafen/Piraten</x:v>
      </x:c>
      <x:c r="D82" s="9" t="str">
        <x:v>Blaue Bauplatte</x:v>
      </x:c>
      <x:c r="E82" s="9" t="str">
        <x:v>11025</x:v>
      </x:c>
      <x:c r="F82" s="9" t="n">
        <x:v>4</x:v>
      </x:c>
      <x:c r="G82" s="9" t="n">
        <x:v>10</x:v>
      </x:c>
      <x:c r="H82" s="9" t="n">
        <x:v>25.6</x:v>
      </x:c>
      <x:c r="I82" s="9" t="n">
        <x:v>25.6</x:v>
      </x:c>
      <x:c r="J82" s="9" t="n">
        <x:v>0.3</x:v>
      </x:c>
      <x:c r="K82" s="43" t="n">
        <x:v>0.0655</x:v>
      </x:c>
      <x:c r="L82" s="9" t="str">
        <x:v>NE</x:v>
      </x:c>
      <x:c r="M82" s="9" t="str"/>
      <x:c r="N82" s="9" t="n">
        <x:v>1</x:v>
      </x:c>
    </x:row>
    <x:row r="83">
      <x:c r="A83" s="9" t="str">
        <x:v>M33</x:v>
      </x:c>
      <x:c r="B83" s="9" t="str">
        <x:v>6/1</x:v>
      </x:c>
      <x:c r="C83" s="9" t="str">
        <x:v>Hafen/Piraten</x:v>
      </x:c>
      <x:c r="D83" s="9" t="str">
        <x:v>Blaue Bauplatte</x:v>
      </x:c>
      <x:c r="E83" s="9" t="str">
        <x:v>11025</x:v>
      </x:c>
      <x:c r="F83" s="9" t="n">
        <x:v>5</x:v>
      </x:c>
      <x:c r="G83" s="9" t="n">
        <x:v>10</x:v>
      </x:c>
      <x:c r="H83" s="9" t="n">
        <x:v>25.6</x:v>
      </x:c>
      <x:c r="I83" s="9" t="n">
        <x:v>25.6</x:v>
      </x:c>
      <x:c r="J83" s="9" t="n">
        <x:v>0.3</x:v>
      </x:c>
      <x:c r="K83" s="43" t="n">
        <x:v>0.0655</x:v>
      </x:c>
      <x:c r="L83" s="9" t="str">
        <x:v>NE</x:v>
      </x:c>
      <x:c r="M83" s="9" t="str"/>
      <x:c r="N83" s="9" t="n">
        <x:v>1</x:v>
      </x:c>
    </x:row>
    <x:row r="84">
      <x:c r="A84" s="9" t="str">
        <x:v>M18</x:v>
      </x:c>
      <x:c r="B84" s="9" t="str">
        <x:v>3/2</x:v>
      </x:c>
      <x:c r="C84" s="9" t="str">
        <x:v>Hafen/Piraten</x:v>
      </x:c>
      <x:c r="D84" s="9" t="str">
        <x:v>Blaue Bauplatte</x:v>
      </x:c>
      <x:c r="E84" s="9" t="str">
        <x:v>11025</x:v>
      </x:c>
      <x:c r="F84" s="9" t="n">
        <x:v>6</x:v>
      </x:c>
      <x:c r="G84" s="9" t="n">
        <x:v>10</x:v>
      </x:c>
      <x:c r="H84" s="9" t="n">
        <x:v>25.6</x:v>
      </x:c>
      <x:c r="I84" s="9" t="n">
        <x:v>25.6</x:v>
      </x:c>
      <x:c r="J84" s="9" t="n">
        <x:v>0.3</x:v>
      </x:c>
      <x:c r="K84" s="43" t="n">
        <x:v>0.0655</x:v>
      </x:c>
      <x:c r="L84" s="9" t="str">
        <x:v>NE</x:v>
      </x:c>
      <x:c r="M84" s="9" t="str"/>
      <x:c r="N84" s="9" t="n">
        <x:v>1</x:v>
      </x:c>
    </x:row>
    <x:row r="85">
      <x:c r="A85" s="9" t="str">
        <x:v>M21</x:v>
      </x:c>
      <x:c r="B85" s="9" t="str">
        <x:v>4/1</x:v>
      </x:c>
      <x:c r="C85" s="9" t="str">
        <x:v>Hafen/Piraten</x:v>
      </x:c>
      <x:c r="D85" s="9" t="str">
        <x:v>Blaue Bauplatte</x:v>
      </x:c>
      <x:c r="E85" s="9" t="str">
        <x:v>11025</x:v>
      </x:c>
      <x:c r="F85" s="9" t="n">
        <x:v>7</x:v>
      </x:c>
      <x:c r="G85" s="9" t="n">
        <x:v>10</x:v>
      </x:c>
      <x:c r="H85" s="9" t="n">
        <x:v>25.6</x:v>
      </x:c>
      <x:c r="I85" s="9" t="n">
        <x:v>25.6</x:v>
      </x:c>
      <x:c r="J85" s="9" t="n">
        <x:v>0.3</x:v>
      </x:c>
      <x:c r="K85" s="43" t="n">
        <x:v>0.0655</x:v>
      </x:c>
      <x:c r="L85" s="9" t="str">
        <x:v>NE</x:v>
      </x:c>
      <x:c r="M85" s="9" t="str"/>
      <x:c r="N85" s="9" t="n">
        <x:v>1</x:v>
      </x:c>
    </x:row>
    <x:row r="86">
      <x:c r="A86" s="9" t="str">
        <x:v>M22</x:v>
      </x:c>
      <x:c r="B86" s="9" t="str">
        <x:v>4/2</x:v>
      </x:c>
      <x:c r="C86" s="9" t="str">
        <x:v>Hafen/Piraten</x:v>
      </x:c>
      <x:c r="D86" s="9" t="str">
        <x:v>Blaue Bauplatte</x:v>
      </x:c>
      <x:c r="E86" s="9" t="str">
        <x:v>11025</x:v>
      </x:c>
      <x:c r="F86" s="9" t="n">
        <x:v>8</x:v>
      </x:c>
      <x:c r="G86" s="9" t="n">
        <x:v>10</x:v>
      </x:c>
      <x:c r="H86" s="9" t="n">
        <x:v>25.6</x:v>
      </x:c>
      <x:c r="I86" s="9" t="n">
        <x:v>25.6</x:v>
      </x:c>
      <x:c r="J86" s="9" t="n">
        <x:v>0.3</x:v>
      </x:c>
      <x:c r="K86" s="43" t="n">
        <x:v>0.0655</x:v>
      </x:c>
      <x:c r="L86" s="9" t="str">
        <x:v>NE</x:v>
      </x:c>
      <x:c r="M86" s="9" t="str"/>
      <x:c r="N86" s="9" t="n">
        <x:v>1</x:v>
      </x:c>
    </x:row>
    <x:row r="87">
      <x:c r="A87" s="9" t="str">
        <x:v>M25</x:v>
      </x:c>
      <x:c r="B87" s="9" t="str">
        <x:v>5/1</x:v>
      </x:c>
      <x:c r="C87" s="9" t="str">
        <x:v>Hafen/Piraten</x:v>
      </x:c>
      <x:c r="D87" s="9" t="str">
        <x:v>Blaue Bauplatte</x:v>
      </x:c>
      <x:c r="E87" s="9" t="str">
        <x:v>11025</x:v>
      </x:c>
      <x:c r="F87" s="9" t="n">
        <x:v>9</x:v>
      </x:c>
      <x:c r="G87" s="9" t="n">
        <x:v>10</x:v>
      </x:c>
      <x:c r="H87" s="9" t="n">
        <x:v>25.6</x:v>
      </x:c>
      <x:c r="I87" s="9" t="n">
        <x:v>25.6</x:v>
      </x:c>
      <x:c r="J87" s="9" t="n">
        <x:v>0.3</x:v>
      </x:c>
      <x:c r="K87" s="43" t="n">
        <x:v>0.0655</x:v>
      </x:c>
      <x:c r="L87" s="9" t="str">
        <x:v>SW</x:v>
      </x:c>
      <x:c r="M87" s="9" t="str"/>
      <x:c r="N87" s="9" t="n">
        <x:v>1</x:v>
      </x:c>
    </x:row>
    <x:row r="88">
      <x:c r="A88" s="9" t="str">
        <x:v>M33</x:v>
      </x:c>
      <x:c r="B88" s="9" t="str">
        <x:v>6/1</x:v>
      </x:c>
      <x:c r="C88" s="9" t="str">
        <x:v>Hafen/Piraten</x:v>
      </x:c>
      <x:c r="D88" s="9" t="str">
        <x:v>Blaue Bauplatte</x:v>
      </x:c>
      <x:c r="E88" s="9" t="str">
        <x:v>11025</x:v>
      </x:c>
      <x:c r="F88" s="9" t="n">
        <x:v>10</x:v>
      </x:c>
      <x:c r="G88" s="9" t="n">
        <x:v>10</x:v>
      </x:c>
      <x:c r="H88" s="9" t="n">
        <x:v>25.6</x:v>
      </x:c>
      <x:c r="I88" s="9" t="n">
        <x:v>25.6</x:v>
      </x:c>
      <x:c r="J88" s="9" t="n">
        <x:v>0.3</x:v>
      </x:c>
      <x:c r="K88" s="43" t="n">
        <x:v>0.0655</x:v>
      </x:c>
      <x:c r="L88" s="9" t="str">
        <x:v>SW</x:v>
      </x:c>
      <x:c r="M88" s="9" t="str"/>
      <x:c r="N88" s="9" t="n">
        <x:v>1</x:v>
      </x:c>
    </x:row>
    <x:row r="89">
      <x:c r="A89" s="9" t="str">
        <x:v>M11</x:v>
      </x:c>
      <x:c r="B89" s="9" t="str">
        <x:v>2/3</x:v>
      </x:c>
      <x:c r="C89" s="9" t="str">
        <x:v>Weihnachtsdorf</x:v>
      </x:c>
      <x:c r="D89" s="9" t="str">
        <x:v>Weiße Bauplatte</x:v>
      </x:c>
      <x:c r="E89" s="9" t="str">
        <x:v>11026</x:v>
      </x:c>
      <x:c r="F89" s="9" t="n">
        <x:v>1</x:v>
      </x:c>
      <x:c r="G89" s="9" t="n">
        <x:v>32</x:v>
      </x:c>
      <x:c r="H89" s="9" t="n">
        <x:v>25.6</x:v>
      </x:c>
      <x:c r="I89" s="9" t="n">
        <x:v>25.6</x:v>
      </x:c>
      <x:c r="J89" s="9" t="n">
        <x:v>0.3</x:v>
      </x:c>
      <x:c r="K89" s="43" t="n">
        <x:v>0.0655</x:v>
      </x:c>
      <x:c r="L89" s="9" t="str">
        <x:v>SW</x:v>
      </x:c>
      <x:c r="M89" s="9" t="str"/>
      <x:c r="N89" s="9" t="n">
        <x:v>1</x:v>
      </x:c>
    </x:row>
    <x:row r="90">
      <x:c r="A90" s="9" t="str">
        <x:v>M01</x:v>
      </x:c>
      <x:c r="B90" s="9" t="str">
        <x:v>1/1</x:v>
      </x:c>
      <x:c r="C90" s="9" t="str">
        <x:v>Weihnachtsdorf</x:v>
      </x:c>
      <x:c r="D90" s="9" t="str">
        <x:v>Weiße Bauplatte</x:v>
      </x:c>
      <x:c r="E90" s="9" t="str">
        <x:v>11026</x:v>
      </x:c>
      <x:c r="F90" s="9" t="n">
        <x:v>2</x:v>
      </x:c>
      <x:c r="G90" s="9" t="n">
        <x:v>32</x:v>
      </x:c>
      <x:c r="H90" s="9" t="n">
        <x:v>25.6</x:v>
      </x:c>
      <x:c r="I90" s="9" t="n">
        <x:v>25.6</x:v>
      </x:c>
      <x:c r="J90" s="9" t="n">
        <x:v>0.3</x:v>
      </x:c>
      <x:c r="K90" s="43" t="n">
        <x:v>0.0655</x:v>
      </x:c>
      <x:c r="L90" s="9" t="str">
        <x:v>SE</x:v>
      </x:c>
      <x:c r="M90" s="9" t="str"/>
      <x:c r="N90" s="9" t="n">
        <x:v>1</x:v>
      </x:c>
    </x:row>
    <x:row r="91">
      <x:c r="A91" s="9" t="str">
        <x:v>M04</x:v>
      </x:c>
      <x:c r="B91" s="9" t="str">
        <x:v>1/4</x:v>
      </x:c>
      <x:c r="C91" s="9" t="str">
        <x:v>Weihnachtsdorf</x:v>
      </x:c>
      <x:c r="D91" s="9" t="str">
        <x:v>Weiße Bauplatte</x:v>
      </x:c>
      <x:c r="E91" s="9" t="str">
        <x:v>11026</x:v>
      </x:c>
      <x:c r="F91" s="9" t="n">
        <x:v>3</x:v>
      </x:c>
      <x:c r="G91" s="9" t="n">
        <x:v>32</x:v>
      </x:c>
      <x:c r="H91" s="9" t="n">
        <x:v>25.6</x:v>
      </x:c>
      <x:c r="I91" s="9" t="n">
        <x:v>25.6</x:v>
      </x:c>
      <x:c r="J91" s="9" t="n">
        <x:v>0.3</x:v>
      </x:c>
      <x:c r="K91" s="43" t="n">
        <x:v>0.0655</x:v>
      </x:c>
      <x:c r="L91" s="9" t="str">
        <x:v>SW</x:v>
      </x:c>
      <x:c r="M91" s="9" t="str"/>
      <x:c r="N91" s="9" t="n">
        <x:v>1</x:v>
      </x:c>
    </x:row>
    <x:row r="92">
      <x:c r="A92" s="9" t="str">
        <x:v>M10</x:v>
      </x:c>
      <x:c r="B92" s="9" t="str">
        <x:v>2/2</x:v>
      </x:c>
      <x:c r="C92" s="9" t="str">
        <x:v>Weihnachtsdorf</x:v>
      </x:c>
      <x:c r="D92" s="9" t="str">
        <x:v>Weiße Bauplatte</x:v>
      </x:c>
      <x:c r="E92" s="9" t="str">
        <x:v>11026</x:v>
      </x:c>
      <x:c r="F92" s="9" t="n">
        <x:v>4</x:v>
      </x:c>
      <x:c r="G92" s="9" t="n">
        <x:v>32</x:v>
      </x:c>
      <x:c r="H92" s="9" t="n">
        <x:v>25.6</x:v>
      </x:c>
      <x:c r="I92" s="9" t="n">
        <x:v>25.6</x:v>
      </x:c>
      <x:c r="J92" s="9" t="n">
        <x:v>0.3</x:v>
      </x:c>
      <x:c r="K92" s="43" t="n">
        <x:v>0.0655</x:v>
      </x:c>
      <x:c r="L92" s="9" t="str">
        <x:v>SE</x:v>
      </x:c>
      <x:c r="M92" s="9" t="str"/>
      <x:c r="N92" s="9" t="n">
        <x:v>1</x:v>
      </x:c>
    </x:row>
    <x:row r="93">
      <x:c r="A93" s="9" t="str">
        <x:v>M09</x:v>
      </x:c>
      <x:c r="B93" s="9" t="str">
        <x:v>2/1</x:v>
      </x:c>
      <x:c r="C93" s="9" t="str">
        <x:v>Weihnachtsdorf</x:v>
      </x:c>
      <x:c r="D93" s="9" t="str">
        <x:v>Weiße Bauplatte</x:v>
      </x:c>
      <x:c r="E93" s="9" t="str">
        <x:v>11026</x:v>
      </x:c>
      <x:c r="F93" s="9" t="n">
        <x:v>5</x:v>
      </x:c>
      <x:c r="G93" s="9" t="n">
        <x:v>32</x:v>
      </x:c>
      <x:c r="H93" s="9" t="n">
        <x:v>25.6</x:v>
      </x:c>
      <x:c r="I93" s="9" t="n">
        <x:v>25.6</x:v>
      </x:c>
      <x:c r="J93" s="9" t="n">
        <x:v>0.3</x:v>
      </x:c>
      <x:c r="K93" s="43" t="n">
        <x:v>0.0655</x:v>
      </x:c>
      <x:c r="L93" s="9" t="str">
        <x:v>SW</x:v>
      </x:c>
      <x:c r="M93" s="9" t="str"/>
      <x:c r="N93" s="9" t="n">
        <x:v>1</x:v>
      </x:c>
    </x:row>
    <x:row r="94">
      <x:c r="A94" s="9" t="str">
        <x:v>M03</x:v>
      </x:c>
      <x:c r="B94" s="9" t="str">
        <x:v>1/3</x:v>
      </x:c>
      <x:c r="C94" s="9" t="str">
        <x:v>Weihnachtsdorf</x:v>
      </x:c>
      <x:c r="D94" s="9" t="str">
        <x:v>Weiße Bauplatte</x:v>
      </x:c>
      <x:c r="E94" s="9" t="str">
        <x:v>11026</x:v>
      </x:c>
      <x:c r="F94" s="9" t="n">
        <x:v>6</x:v>
      </x:c>
      <x:c r="G94" s="9" t="n">
        <x:v>32</x:v>
      </x:c>
      <x:c r="H94" s="9" t="n">
        <x:v>25.6</x:v>
      </x:c>
      <x:c r="I94" s="9" t="n">
        <x:v>25.6</x:v>
      </x:c>
      <x:c r="J94" s="9" t="n">
        <x:v>0.3</x:v>
      </x:c>
      <x:c r="K94" s="43" t="n">
        <x:v>0.0655</x:v>
      </x:c>
      <x:c r="L94" s="9" t="str">
        <x:v>SE</x:v>
      </x:c>
      <x:c r="M94" s="9" t="str"/>
      <x:c r="N94" s="9" t="n">
        <x:v>1</x:v>
      </x:c>
    </x:row>
    <x:row r="95">
      <x:c r="A95" s="9" t="str">
        <x:v>M02</x:v>
      </x:c>
      <x:c r="B95" s="9" t="str">
        <x:v>1/2</x:v>
      </x:c>
      <x:c r="C95" s="9" t="str">
        <x:v>Weihnachtsdorf</x:v>
      </x:c>
      <x:c r="D95" s="9" t="str">
        <x:v>Weiße Bauplatte</x:v>
      </x:c>
      <x:c r="E95" s="9" t="str">
        <x:v>11026</x:v>
      </x:c>
      <x:c r="F95" s="9" t="n">
        <x:v>7</x:v>
      </x:c>
      <x:c r="G95" s="9" t="n">
        <x:v>32</x:v>
      </x:c>
      <x:c r="H95" s="9" t="n">
        <x:v>25.6</x:v>
      </x:c>
      <x:c r="I95" s="9" t="n">
        <x:v>25.6</x:v>
      </x:c>
      <x:c r="J95" s="9" t="n">
        <x:v>0.3</x:v>
      </x:c>
      <x:c r="K95" s="43" t="n">
        <x:v>0.0655</x:v>
      </x:c>
      <x:c r="L95" s="9" t="str">
        <x:v>NE</x:v>
      </x:c>
      <x:c r="M95" s="9" t="str"/>
      <x:c r="N95" s="9" t="n">
        <x:v>1</x:v>
      </x:c>
    </x:row>
    <x:row r="96">
      <x:c r="A96" s="9" t="str">
        <x:v>M11</x:v>
      </x:c>
      <x:c r="B96" s="9" t="str">
        <x:v>2/3</x:v>
      </x:c>
      <x:c r="C96" s="9" t="str">
        <x:v>Weihnachtsdorf</x:v>
      </x:c>
      <x:c r="D96" s="9" t="str">
        <x:v>Weiße Bauplatte</x:v>
      </x:c>
      <x:c r="E96" s="9" t="str">
        <x:v>11026</x:v>
      </x:c>
      <x:c r="F96" s="9" t="n">
        <x:v>8</x:v>
      </x:c>
      <x:c r="G96" s="9" t="n">
        <x:v>32</x:v>
      </x:c>
      <x:c r="H96" s="9" t="n">
        <x:v>25.6</x:v>
      </x:c>
      <x:c r="I96" s="9" t="n">
        <x:v>25.6</x:v>
      </x:c>
      <x:c r="J96" s="9" t="n">
        <x:v>0.3</x:v>
      </x:c>
      <x:c r="K96" s="43" t="n">
        <x:v>0.0655</x:v>
      </x:c>
      <x:c r="L96" s="9" t="str">
        <x:v>SE</x:v>
      </x:c>
      <x:c r="M96" s="9" t="str"/>
      <x:c r="N96" s="9" t="n">
        <x:v>1</x:v>
      </x:c>
    </x:row>
    <x:row r="97">
      <x:c r="A97" s="9" t="str">
        <x:v>M01</x:v>
      </x:c>
      <x:c r="B97" s="9" t="str">
        <x:v>1/1</x:v>
      </x:c>
      <x:c r="C97" s="9" t="str">
        <x:v>Weihnachtsdorf</x:v>
      </x:c>
      <x:c r="D97" s="9" t="str">
        <x:v>Weiße Bauplatte</x:v>
      </x:c>
      <x:c r="E97" s="9" t="str">
        <x:v>11026</x:v>
      </x:c>
      <x:c r="F97" s="9" t="n">
        <x:v>9</x:v>
      </x:c>
      <x:c r="G97" s="9" t="n">
        <x:v>32</x:v>
      </x:c>
      <x:c r="H97" s="9" t="n">
        <x:v>25.6</x:v>
      </x:c>
      <x:c r="I97" s="9" t="n">
        <x:v>25.6</x:v>
      </x:c>
      <x:c r="J97" s="9" t="n">
        <x:v>0.3</x:v>
      </x:c>
      <x:c r="K97" s="43" t="n">
        <x:v>0.0655</x:v>
      </x:c>
      <x:c r="L97" s="9" t="str">
        <x:v>Mitte</x:v>
      </x:c>
      <x:c r="M97" s="9" t="str"/>
      <x:c r="N97" s="9" t="n">
        <x:v>1</x:v>
      </x:c>
    </x:row>
    <x:row r="98">
      <x:c r="A98" s="9" t="str">
        <x:v>M04</x:v>
      </x:c>
      <x:c r="B98" s="9" t="str">
        <x:v>1/4</x:v>
      </x:c>
      <x:c r="C98" s="9" t="str">
        <x:v>Weihnachtsdorf</x:v>
      </x:c>
      <x:c r="D98" s="9" t="str">
        <x:v>Weiße Bauplatte</x:v>
      </x:c>
      <x:c r="E98" s="9" t="str">
        <x:v>11026</x:v>
      </x:c>
      <x:c r="F98" s="9" t="n">
        <x:v>10</x:v>
      </x:c>
      <x:c r="G98" s="9" t="n">
        <x:v>32</x:v>
      </x:c>
      <x:c r="H98" s="9" t="n">
        <x:v>25.6</x:v>
      </x:c>
      <x:c r="I98" s="9" t="n">
        <x:v>25.6</x:v>
      </x:c>
      <x:c r="J98" s="9" t="n">
        <x:v>0.3</x:v>
      </x:c>
      <x:c r="K98" s="43" t="n">
        <x:v>0.0655</x:v>
      </x:c>
      <x:c r="L98" s="9" t="str">
        <x:v>SE</x:v>
      </x:c>
      <x:c r="M98" s="9" t="str"/>
      <x:c r="N98" s="9" t="n">
        <x:v>1</x:v>
      </x:c>
    </x:row>
    <x:row r="99">
      <x:c r="A99" s="9" t="str">
        <x:v>M10</x:v>
      </x:c>
      <x:c r="B99" s="9" t="str">
        <x:v>2/2</x:v>
      </x:c>
      <x:c r="C99" s="9" t="str">
        <x:v>Weihnachtsdorf</x:v>
      </x:c>
      <x:c r="D99" s="9" t="str">
        <x:v>Weiße Bauplatte</x:v>
      </x:c>
      <x:c r="E99" s="9" t="str">
        <x:v>11026</x:v>
      </x:c>
      <x:c r="F99" s="9" t="n">
        <x:v>11</x:v>
      </x:c>
      <x:c r="G99" s="9" t="n">
        <x:v>32</x:v>
      </x:c>
      <x:c r="H99" s="9" t="n">
        <x:v>25.6</x:v>
      </x:c>
      <x:c r="I99" s="9" t="n">
        <x:v>25.6</x:v>
      </x:c>
      <x:c r="J99" s="9" t="n">
        <x:v>0.3</x:v>
      </x:c>
      <x:c r="K99" s="43" t="n">
        <x:v>0.0655</x:v>
      </x:c>
      <x:c r="L99" s="9" t="str">
        <x:v>Mitte</x:v>
      </x:c>
      <x:c r="M99" s="9" t="str"/>
      <x:c r="N99" s="9" t="n">
        <x:v>1</x:v>
      </x:c>
    </x:row>
    <x:row r="100">
      <x:c r="A100" s="9" t="str">
        <x:v>M09</x:v>
      </x:c>
      <x:c r="B100" s="9" t="str">
        <x:v>2/1</x:v>
      </x:c>
      <x:c r="C100" s="9" t="str">
        <x:v>Weihnachtsdorf</x:v>
      </x:c>
      <x:c r="D100" s="9" t="str">
        <x:v>Weiße Bauplatte</x:v>
      </x:c>
      <x:c r="E100" s="9" t="str">
        <x:v>11026</x:v>
      </x:c>
      <x:c r="F100" s="9" t="n">
        <x:v>12</x:v>
      </x:c>
      <x:c r="G100" s="9" t="n">
        <x:v>32</x:v>
      </x:c>
      <x:c r="H100" s="9" t="n">
        <x:v>25.6</x:v>
      </x:c>
      <x:c r="I100" s="9" t="n">
        <x:v>25.6</x:v>
      </x:c>
      <x:c r="J100" s="9" t="n">
        <x:v>0.3</x:v>
      </x:c>
      <x:c r="K100" s="43" t="n">
        <x:v>0.0655</x:v>
      </x:c>
      <x:c r="L100" s="9" t="str">
        <x:v>SE</x:v>
      </x:c>
      <x:c r="M100" s="9" t="str"/>
      <x:c r="N100" s="9" t="n">
        <x:v>1</x:v>
      </x:c>
    </x:row>
    <x:row r="101">
      <x:c r="A101" s="9" t="str">
        <x:v>M03</x:v>
      </x:c>
      <x:c r="B101" s="9" t="str">
        <x:v>1/3</x:v>
      </x:c>
      <x:c r="C101" s="9" t="str">
        <x:v>Weihnachtsdorf</x:v>
      </x:c>
      <x:c r="D101" s="9" t="str">
        <x:v>Weiße Bauplatte</x:v>
      </x:c>
      <x:c r="E101" s="9" t="str">
        <x:v>11026</x:v>
      </x:c>
      <x:c r="F101" s="9" t="n">
        <x:v>13</x:v>
      </x:c>
      <x:c r="G101" s="9" t="n">
        <x:v>32</x:v>
      </x:c>
      <x:c r="H101" s="9" t="n">
        <x:v>25.6</x:v>
      </x:c>
      <x:c r="I101" s="9" t="n">
        <x:v>25.6</x:v>
      </x:c>
      <x:c r="J101" s="9" t="n">
        <x:v>0.3</x:v>
      </x:c>
      <x:c r="K101" s="43" t="n">
        <x:v>0.0655</x:v>
      </x:c>
      <x:c r="L101" s="9" t="str">
        <x:v>Mitte</x:v>
      </x:c>
      <x:c r="M101" s="9" t="str"/>
      <x:c r="N101" s="9" t="n">
        <x:v>1</x:v>
      </x:c>
    </x:row>
    <x:row r="102">
      <x:c r="A102" s="9" t="str">
        <x:v>M02</x:v>
      </x:c>
      <x:c r="B102" s="9" t="str">
        <x:v>1/2</x:v>
      </x:c>
      <x:c r="C102" s="9" t="str">
        <x:v>Weihnachtsdorf</x:v>
      </x:c>
      <x:c r="D102" s="9" t="str">
        <x:v>Weiße Bauplatte</x:v>
      </x:c>
      <x:c r="E102" s="9" t="str">
        <x:v>11026</x:v>
      </x:c>
      <x:c r="F102" s="9" t="n">
        <x:v>14</x:v>
      </x:c>
      <x:c r="G102" s="9" t="n">
        <x:v>32</x:v>
      </x:c>
      <x:c r="H102" s="9" t="n">
        <x:v>25.6</x:v>
      </x:c>
      <x:c r="I102" s="9" t="n">
        <x:v>25.6</x:v>
      </x:c>
      <x:c r="J102" s="9" t="n">
        <x:v>0.3</x:v>
      </x:c>
      <x:c r="K102" s="43" t="n">
        <x:v>0.0655</x:v>
      </x:c>
      <x:c r="L102" s="9" t="str">
        <x:v>SW</x:v>
      </x:c>
      <x:c r="M102" s="9" t="str"/>
      <x:c r="N102" s="9" t="n">
        <x:v>1</x:v>
      </x:c>
    </x:row>
    <x:row r="103">
      <x:c r="A103" s="9" t="str">
        <x:v>M11</x:v>
      </x:c>
      <x:c r="B103" s="9" t="str">
        <x:v>2/3</x:v>
      </x:c>
      <x:c r="C103" s="9" t="str">
        <x:v>Weihnachtsdorf</x:v>
      </x:c>
      <x:c r="D103" s="9" t="str">
        <x:v>Weiße Bauplatte</x:v>
      </x:c>
      <x:c r="E103" s="9" t="str">
        <x:v>11026</x:v>
      </x:c>
      <x:c r="F103" s="9" t="n">
        <x:v>15</x:v>
      </x:c>
      <x:c r="G103" s="9" t="n">
        <x:v>32</x:v>
      </x:c>
      <x:c r="H103" s="9" t="n">
        <x:v>25.6</x:v>
      </x:c>
      <x:c r="I103" s="9" t="n">
        <x:v>25.6</x:v>
      </x:c>
      <x:c r="J103" s="9" t="n">
        <x:v>0.3</x:v>
      </x:c>
      <x:c r="K103" s="43" t="n">
        <x:v>0.0655</x:v>
      </x:c>
      <x:c r="L103" s="9" t="str">
        <x:v>Mitte</x:v>
      </x:c>
      <x:c r="M103" s="9" t="str"/>
      <x:c r="N103" s="9" t="n">
        <x:v>1</x:v>
      </x:c>
    </x:row>
    <x:row r="104">
      <x:c r="A104" s="9" t="str">
        <x:v>M01</x:v>
      </x:c>
      <x:c r="B104" s="9" t="str">
        <x:v>1/1</x:v>
      </x:c>
      <x:c r="C104" s="9" t="str">
        <x:v>Weihnachtsdorf</x:v>
      </x:c>
      <x:c r="D104" s="9" t="str">
        <x:v>Weiße Bauplatte</x:v>
      </x:c>
      <x:c r="E104" s="9" t="str">
        <x:v>11026</x:v>
      </x:c>
      <x:c r="F104" s="9" t="n">
        <x:v>16</x:v>
      </x:c>
      <x:c r="G104" s="9" t="n">
        <x:v>32</x:v>
      </x:c>
      <x:c r="H104" s="9" t="n">
        <x:v>25.6</x:v>
      </x:c>
      <x:c r="I104" s="9" t="n">
        <x:v>25.6</x:v>
      </x:c>
      <x:c r="J104" s="9" t="n">
        <x:v>0.3</x:v>
      </x:c>
      <x:c r="K104" s="43" t="n">
        <x:v>0.0655</x:v>
      </x:c>
      <x:c r="L104" s="9" t="str">
        <x:v>Rand innen</x:v>
      </x:c>
      <x:c r="M104" s="9" t="str"/>
      <x:c r="N104" s="9" t="n">
        <x:v>1</x:v>
      </x:c>
    </x:row>
    <x:row r="105">
      <x:c r="A105" s="9" t="str">
        <x:v>M04</x:v>
      </x:c>
      <x:c r="B105" s="9" t="str">
        <x:v>1/4</x:v>
      </x:c>
      <x:c r="C105" s="9" t="str">
        <x:v>Weihnachtsdorf</x:v>
      </x:c>
      <x:c r="D105" s="9" t="str">
        <x:v>Weiße Bauplatte</x:v>
      </x:c>
      <x:c r="E105" s="9" t="str">
        <x:v>11026</x:v>
      </x:c>
      <x:c r="F105" s="9" t="n">
        <x:v>17</x:v>
      </x:c>
      <x:c r="G105" s="9" t="n">
        <x:v>32</x:v>
      </x:c>
      <x:c r="H105" s="9" t="n">
        <x:v>25.6</x:v>
      </x:c>
      <x:c r="I105" s="9" t="n">
        <x:v>25.6</x:v>
      </x:c>
      <x:c r="J105" s="9" t="n">
        <x:v>0.3</x:v>
      </x:c>
      <x:c r="K105" s="43" t="n">
        <x:v>0.0655</x:v>
      </x:c>
      <x:c r="L105" s="9" t="str">
        <x:v>Mitte</x:v>
      </x:c>
      <x:c r="M105" s="9" t="str"/>
      <x:c r="N105" s="9" t="n">
        <x:v>1</x:v>
      </x:c>
    </x:row>
    <x:row r="106">
      <x:c r="A106" s="9" t="str">
        <x:v>M10</x:v>
      </x:c>
      <x:c r="B106" s="9" t="str">
        <x:v>2/2</x:v>
      </x:c>
      <x:c r="C106" s="9" t="str">
        <x:v>Weihnachtsdorf</x:v>
      </x:c>
      <x:c r="D106" s="9" t="str">
        <x:v>Weiße Bauplatte</x:v>
      </x:c>
      <x:c r="E106" s="9" t="str">
        <x:v>11026</x:v>
      </x:c>
      <x:c r="F106" s="9" t="n">
        <x:v>18</x:v>
      </x:c>
      <x:c r="G106" s="9" t="n">
        <x:v>32</x:v>
      </x:c>
      <x:c r="H106" s="9" t="n">
        <x:v>25.6</x:v>
      </x:c>
      <x:c r="I106" s="9" t="n">
        <x:v>25.6</x:v>
      </x:c>
      <x:c r="J106" s="9" t="n">
        <x:v>0.3</x:v>
      </x:c>
      <x:c r="K106" s="43" t="n">
        <x:v>0.0655</x:v>
      </x:c>
      <x:c r="L106" s="9" t="str">
        <x:v>Rand innen</x:v>
      </x:c>
      <x:c r="M106" s="9" t="str"/>
      <x:c r="N106" s="9" t="n">
        <x:v>1</x:v>
      </x:c>
    </x:row>
    <x:row r="107">
      <x:c r="A107" s="9" t="str">
        <x:v>M09</x:v>
      </x:c>
      <x:c r="B107" s="9" t="str">
        <x:v>2/1</x:v>
      </x:c>
      <x:c r="C107" s="9" t="str">
        <x:v>Weihnachtsdorf</x:v>
      </x:c>
      <x:c r="D107" s="9" t="str">
        <x:v>Weiße Bauplatte</x:v>
      </x:c>
      <x:c r="E107" s="9" t="str">
        <x:v>11026</x:v>
      </x:c>
      <x:c r="F107" s="9" t="n">
        <x:v>19</x:v>
      </x:c>
      <x:c r="G107" s="9" t="n">
        <x:v>32</x:v>
      </x:c>
      <x:c r="H107" s="9" t="n">
        <x:v>25.6</x:v>
      </x:c>
      <x:c r="I107" s="9" t="n">
        <x:v>25.6</x:v>
      </x:c>
      <x:c r="J107" s="9" t="n">
        <x:v>0.3</x:v>
      </x:c>
      <x:c r="K107" s="43" t="n">
        <x:v>0.0655</x:v>
      </x:c>
      <x:c r="L107" s="9" t="str">
        <x:v>Mitte</x:v>
      </x:c>
      <x:c r="M107" s="9" t="str"/>
      <x:c r="N107" s="9" t="n">
        <x:v>1</x:v>
      </x:c>
    </x:row>
    <x:row r="108">
      <x:c r="A108" s="9" t="str">
        <x:v>M03</x:v>
      </x:c>
      <x:c r="B108" s="9" t="str">
        <x:v>1/3</x:v>
      </x:c>
      <x:c r="C108" s="9" t="str">
        <x:v>Weihnachtsdorf</x:v>
      </x:c>
      <x:c r="D108" s="9" t="str">
        <x:v>Weiße Bauplatte</x:v>
      </x:c>
      <x:c r="E108" s="9" t="str">
        <x:v>11026</x:v>
      </x:c>
      <x:c r="F108" s="9" t="n">
        <x:v>20</x:v>
      </x:c>
      <x:c r="G108" s="9" t="n">
        <x:v>32</x:v>
      </x:c>
      <x:c r="H108" s="9" t="n">
        <x:v>25.6</x:v>
      </x:c>
      <x:c r="I108" s="9" t="n">
        <x:v>25.6</x:v>
      </x:c>
      <x:c r="J108" s="9" t="n">
        <x:v>0.3</x:v>
      </x:c>
      <x:c r="K108" s="43" t="n">
        <x:v>0.0655</x:v>
      </x:c>
      <x:c r="L108" s="9" t="str">
        <x:v>Rand innen</x:v>
      </x:c>
      <x:c r="M108" s="9" t="str"/>
      <x:c r="N108" s="9" t="n">
        <x:v>1</x:v>
      </x:c>
    </x:row>
    <x:row r="109">
      <x:c r="A109" s="9" t="str">
        <x:v>M02</x:v>
      </x:c>
      <x:c r="B109" s="9" t="str">
        <x:v>1/2</x:v>
      </x:c>
      <x:c r="C109" s="9" t="str">
        <x:v>Weihnachtsdorf</x:v>
      </x:c>
      <x:c r="D109" s="9" t="str">
        <x:v>Weiße Bauplatte</x:v>
      </x:c>
      <x:c r="E109" s="9" t="str">
        <x:v>11026</x:v>
      </x:c>
      <x:c r="F109" s="9" t="n">
        <x:v>21</x:v>
      </x:c>
      <x:c r="G109" s="9" t="n">
        <x:v>32</x:v>
      </x:c>
      <x:c r="H109" s="9" t="n">
        <x:v>25.6</x:v>
      </x:c>
      <x:c r="I109" s="9" t="n">
        <x:v>25.6</x:v>
      </x:c>
      <x:c r="J109" s="9" t="n">
        <x:v>0.3</x:v>
      </x:c>
      <x:c r="K109" s="43" t="n">
        <x:v>0.0655</x:v>
      </x:c>
      <x:c r="L109" s="9" t="str">
        <x:v>SE</x:v>
      </x:c>
      <x:c r="M109" s="9" t="str"/>
      <x:c r="N109" s="9" t="n">
        <x:v>1</x:v>
      </x:c>
    </x:row>
    <x:row r="110">
      <x:c r="A110" s="9" t="str">
        <x:v>M11</x:v>
      </x:c>
      <x:c r="B110" s="9" t="str">
        <x:v>2/3</x:v>
      </x:c>
      <x:c r="C110" s="9" t="str">
        <x:v>Weihnachtsdorf</x:v>
      </x:c>
      <x:c r="D110" s="9" t="str">
        <x:v>Weiße Bauplatte</x:v>
      </x:c>
      <x:c r="E110" s="9" t="str">
        <x:v>11026</x:v>
      </x:c>
      <x:c r="F110" s="9" t="n">
        <x:v>22</x:v>
      </x:c>
      <x:c r="G110" s="9" t="n">
        <x:v>32</x:v>
      </x:c>
      <x:c r="H110" s="9" t="n">
        <x:v>25.6</x:v>
      </x:c>
      <x:c r="I110" s="9" t="n">
        <x:v>25.6</x:v>
      </x:c>
      <x:c r="J110" s="9" t="n">
        <x:v>0.3</x:v>
      </x:c>
      <x:c r="K110" s="43" t="n">
        <x:v>0.0655</x:v>
      </x:c>
      <x:c r="L110" s="9" t="str">
        <x:v>Rand innen</x:v>
      </x:c>
      <x:c r="M110" s="9" t="str"/>
      <x:c r="N110" s="9" t="n">
        <x:v>1</x:v>
      </x:c>
    </x:row>
    <x:row r="111">
      <x:c r="A111" s="9" t="str">
        <x:v>M01</x:v>
      </x:c>
      <x:c r="B111" s="9" t="str">
        <x:v>1/1</x:v>
      </x:c>
      <x:c r="C111" s="9" t="str">
        <x:v>Weihnachtsdorf</x:v>
      </x:c>
      <x:c r="D111" s="9" t="str">
        <x:v>Weiße Bauplatte</x:v>
      </x:c>
      <x:c r="E111" s="9" t="str">
        <x:v>11026</x:v>
      </x:c>
      <x:c r="F111" s="9" t="n">
        <x:v>23</x:v>
      </x:c>
      <x:c r="G111" s="9" t="n">
        <x:v>32</x:v>
      </x:c>
      <x:c r="H111" s="9" t="n">
        <x:v>25.6</x:v>
      </x:c>
      <x:c r="I111" s="9" t="n">
        <x:v>25.6</x:v>
      </x:c>
      <x:c r="J111" s="9" t="n">
        <x:v>0.3</x:v>
      </x:c>
      <x:c r="K111" s="43" t="n">
        <x:v>0.0655</x:v>
      </x:c>
      <x:c r="L111" s="9" t="str">
        <x:v>Rand außen</x:v>
      </x:c>
      <x:c r="M111" s="9" t="str"/>
      <x:c r="N111" s="9" t="n">
        <x:v>1</x:v>
      </x:c>
    </x:row>
    <x:row r="112">
      <x:c r="A112" s="9" t="str">
        <x:v>M04</x:v>
      </x:c>
      <x:c r="B112" s="9" t="str">
        <x:v>1/4</x:v>
      </x:c>
      <x:c r="C112" s="9" t="str">
        <x:v>Weihnachtsdorf</x:v>
      </x:c>
      <x:c r="D112" s="9" t="str">
        <x:v>Weiße Bauplatte</x:v>
      </x:c>
      <x:c r="E112" s="9" t="str">
        <x:v>11026</x:v>
      </x:c>
      <x:c r="F112" s="9" t="n">
        <x:v>24</x:v>
      </x:c>
      <x:c r="G112" s="9" t="n">
        <x:v>32</x:v>
      </x:c>
      <x:c r="H112" s="9" t="n">
        <x:v>25.6</x:v>
      </x:c>
      <x:c r="I112" s="9" t="n">
        <x:v>25.6</x:v>
      </x:c>
      <x:c r="J112" s="9" t="n">
        <x:v>0.3</x:v>
      </x:c>
      <x:c r="K112" s="43" t="n">
        <x:v>0.0655</x:v>
      </x:c>
      <x:c r="L112" s="9" t="str">
        <x:v>Rand innen</x:v>
      </x:c>
      <x:c r="M112" s="9" t="str"/>
      <x:c r="N112" s="9" t="n">
        <x:v>1</x:v>
      </x:c>
    </x:row>
    <x:row r="113">
      <x:c r="A113" s="9" t="str">
        <x:v>M10</x:v>
      </x:c>
      <x:c r="B113" s="9" t="str">
        <x:v>2/2</x:v>
      </x:c>
      <x:c r="C113" s="9" t="str">
        <x:v>Weihnachtsdorf</x:v>
      </x:c>
      <x:c r="D113" s="9" t="str">
        <x:v>Weiße Bauplatte</x:v>
      </x:c>
      <x:c r="E113" s="9" t="str">
        <x:v>11026</x:v>
      </x:c>
      <x:c r="F113" s="9" t="n">
        <x:v>25</x:v>
      </x:c>
      <x:c r="G113" s="9" t="n">
        <x:v>32</x:v>
      </x:c>
      <x:c r="H113" s="9" t="n">
        <x:v>25.6</x:v>
      </x:c>
      <x:c r="I113" s="9" t="n">
        <x:v>25.6</x:v>
      </x:c>
      <x:c r="J113" s="9" t="n">
        <x:v>0.3</x:v>
      </x:c>
      <x:c r="K113" s="43" t="n">
        <x:v>0.0655</x:v>
      </x:c>
      <x:c r="L113" s="9" t="str">
        <x:v>Rand außen</x:v>
      </x:c>
      <x:c r="M113" s="9" t="str"/>
      <x:c r="N113" s="9" t="n">
        <x:v>1</x:v>
      </x:c>
    </x:row>
    <x:row r="114">
      <x:c r="A114" s="9" t="str">
        <x:v>M09</x:v>
      </x:c>
      <x:c r="B114" s="9" t="str">
        <x:v>2/1</x:v>
      </x:c>
      <x:c r="C114" s="9" t="str">
        <x:v>Weihnachtsdorf</x:v>
      </x:c>
      <x:c r="D114" s="9" t="str">
        <x:v>Weiße Bauplatte</x:v>
      </x:c>
      <x:c r="E114" s="9" t="str">
        <x:v>11026</x:v>
      </x:c>
      <x:c r="F114" s="9" t="n">
        <x:v>26</x:v>
      </x:c>
      <x:c r="G114" s="9" t="n">
        <x:v>32</x:v>
      </x:c>
      <x:c r="H114" s="9" t="n">
        <x:v>25.6</x:v>
      </x:c>
      <x:c r="I114" s="9" t="n">
        <x:v>25.6</x:v>
      </x:c>
      <x:c r="J114" s="9" t="n">
        <x:v>0.3</x:v>
      </x:c>
      <x:c r="K114" s="43" t="n">
        <x:v>0.0655</x:v>
      </x:c>
      <x:c r="L114" s="9" t="str">
        <x:v>Rand innen</x:v>
      </x:c>
      <x:c r="M114" s="9" t="str"/>
      <x:c r="N114" s="9" t="n">
        <x:v>1</x:v>
      </x:c>
    </x:row>
    <x:row r="115">
      <x:c r="A115" s="9" t="str">
        <x:v>M03</x:v>
      </x:c>
      <x:c r="B115" s="9" t="str">
        <x:v>1/3</x:v>
      </x:c>
      <x:c r="C115" s="9" t="str">
        <x:v>Weihnachtsdorf</x:v>
      </x:c>
      <x:c r="D115" s="9" t="str">
        <x:v>Weiße Bauplatte</x:v>
      </x:c>
      <x:c r="E115" s="9" t="str">
        <x:v>11026</x:v>
      </x:c>
      <x:c r="F115" s="9" t="n">
        <x:v>27</x:v>
      </x:c>
      <x:c r="G115" s="9" t="n">
        <x:v>32</x:v>
      </x:c>
      <x:c r="H115" s="9" t="n">
        <x:v>25.6</x:v>
      </x:c>
      <x:c r="I115" s="9" t="n">
        <x:v>25.6</x:v>
      </x:c>
      <x:c r="J115" s="9" t="n">
        <x:v>0.3</x:v>
      </x:c>
      <x:c r="K115" s="43" t="n">
        <x:v>0.0655</x:v>
      </x:c>
      <x:c r="L115" s="9" t="str">
        <x:v>Rand außen</x:v>
      </x:c>
      <x:c r="M115" s="9" t="str"/>
      <x:c r="N115" s="9" t="n">
        <x:v>1</x:v>
      </x:c>
    </x:row>
    <x:row r="116">
      <x:c r="A116" s="9" t="str">
        <x:v>M02</x:v>
      </x:c>
      <x:c r="B116" s="9" t="str">
        <x:v>1/2</x:v>
      </x:c>
      <x:c r="C116" s="9" t="str">
        <x:v>Weihnachtsdorf</x:v>
      </x:c>
      <x:c r="D116" s="9" t="str">
        <x:v>Weiße Bauplatte</x:v>
      </x:c>
      <x:c r="E116" s="9" t="str">
        <x:v>11026</x:v>
      </x:c>
      <x:c r="F116" s="9" t="n">
        <x:v>28</x:v>
      </x:c>
      <x:c r="G116" s="9" t="n">
        <x:v>32</x:v>
      </x:c>
      <x:c r="H116" s="9" t="n">
        <x:v>25.6</x:v>
      </x:c>
      <x:c r="I116" s="9" t="n">
        <x:v>25.6</x:v>
      </x:c>
      <x:c r="J116" s="9" t="n">
        <x:v>0.3</x:v>
      </x:c>
      <x:c r="K116" s="43" t="n">
        <x:v>0.0655</x:v>
      </x:c>
      <x:c r="L116" s="9" t="str">
        <x:v>Mitte</x:v>
      </x:c>
      <x:c r="M116" s="9" t="str"/>
      <x:c r="N116" s="9" t="n">
        <x:v>1</x:v>
      </x:c>
    </x:row>
    <x:row r="117">
      <x:c r="A117" s="9" t="str">
        <x:v>M11</x:v>
      </x:c>
      <x:c r="B117" s="9" t="str">
        <x:v>2/3</x:v>
      </x:c>
      <x:c r="C117" s="9" t="str">
        <x:v>Weihnachtsdorf</x:v>
      </x:c>
      <x:c r="D117" s="9" t="str">
        <x:v>Weiße Bauplatte</x:v>
      </x:c>
      <x:c r="E117" s="9" t="str">
        <x:v>11026</x:v>
      </x:c>
      <x:c r="F117" s="9" t="n">
        <x:v>29</x:v>
      </x:c>
      <x:c r="G117" s="9" t="n">
        <x:v>32</x:v>
      </x:c>
      <x:c r="H117" s="9" t="n">
        <x:v>25.6</x:v>
      </x:c>
      <x:c r="I117" s="9" t="n">
        <x:v>25.6</x:v>
      </x:c>
      <x:c r="J117" s="9" t="n">
        <x:v>0.3</x:v>
      </x:c>
      <x:c r="K117" s="43" t="n">
        <x:v>0.0655</x:v>
      </x:c>
      <x:c r="L117" s="9" t="str">
        <x:v>Rand außen</x:v>
      </x:c>
      <x:c r="M117" s="9" t="str"/>
      <x:c r="N117" s="9" t="n">
        <x:v>1</x:v>
      </x:c>
    </x:row>
    <x:row r="118">
      <x:c r="A118" s="9" t="str">
        <x:v>M01</x:v>
      </x:c>
      <x:c r="B118" s="9" t="str">
        <x:v>1/1</x:v>
      </x:c>
      <x:c r="C118" s="9" t="str">
        <x:v>Weihnachtsdorf</x:v>
      </x:c>
      <x:c r="D118" s="9" t="str">
        <x:v>Weiße Bauplatte</x:v>
      </x:c>
      <x:c r="E118" s="9" t="str">
        <x:v>11026</x:v>
      </x:c>
      <x:c r="F118" s="9" t="n">
        <x:v>30</x:v>
      </x:c>
      <x:c r="G118" s="9" t="n">
        <x:v>32</x:v>
      </x:c>
      <x:c r="H118" s="9" t="n">
        <x:v>25.6</x:v>
      </x:c>
      <x:c r="I118" s="9" t="n">
        <x:v>25.6</x:v>
      </x:c>
      <x:c r="J118" s="9" t="n">
        <x:v>0.3</x:v>
      </x:c>
      <x:c r="K118" s="43" t="n">
        <x:v>0.0655</x:v>
      </x:c>
      <x:c r="L118" s="9" t="str">
        <x:v>NW</x:v>
      </x:c>
      <x:c r="M118" s="9" t="str"/>
      <x:c r="N118" s="9" t="n">
        <x:v>1</x:v>
      </x:c>
    </x:row>
    <x:row r="119">
      <x:c r="A119" s="9" t="str">
        <x:v>M04</x:v>
      </x:c>
      <x:c r="B119" s="9" t="str">
        <x:v>1/4</x:v>
      </x:c>
      <x:c r="C119" s="9" t="str">
        <x:v>Weihnachtsdorf</x:v>
      </x:c>
      <x:c r="D119" s="9" t="str">
        <x:v>Weiße Bauplatte</x:v>
      </x:c>
      <x:c r="E119" s="9" t="str">
        <x:v>11026</x:v>
      </x:c>
      <x:c r="F119" s="9" t="n">
        <x:v>31</x:v>
      </x:c>
      <x:c r="G119" s="9" t="n">
        <x:v>32</x:v>
      </x:c>
      <x:c r="H119" s="9" t="n">
        <x:v>25.6</x:v>
      </x:c>
      <x:c r="I119" s="9" t="n">
        <x:v>25.6</x:v>
      </x:c>
      <x:c r="J119" s="9" t="n">
        <x:v>0.3</x:v>
      </x:c>
      <x:c r="K119" s="43" t="n">
        <x:v>0.0655</x:v>
      </x:c>
      <x:c r="L119" s="9" t="str">
        <x:v>Rand außen</x:v>
      </x:c>
      <x:c r="M119" s="9" t="str"/>
      <x:c r="N119" s="9" t="n">
        <x:v>1</x:v>
      </x:c>
    </x:row>
    <x:row r="120">
      <x:c r="A120" s="9" t="str">
        <x:v>M10</x:v>
      </x:c>
      <x:c r="B120" s="9" t="str">
        <x:v>2/2</x:v>
      </x:c>
      <x:c r="C120" s="9" t="str">
        <x:v>Weihnachtsdorf</x:v>
      </x:c>
      <x:c r="D120" s="9" t="str">
        <x:v>Weiße Bauplatte</x:v>
      </x:c>
      <x:c r="E120" s="9" t="str">
        <x:v>11026</x:v>
      </x:c>
      <x:c r="F120" s="9" t="n">
        <x:v>32</x:v>
      </x:c>
      <x:c r="G120" s="9" t="n">
        <x:v>32</x:v>
      </x:c>
      <x:c r="H120" s="9" t="n">
        <x:v>25.6</x:v>
      </x:c>
      <x:c r="I120" s="9" t="n">
        <x:v>25.6</x:v>
      </x:c>
      <x:c r="J120" s="9" t="n">
        <x:v>0.3</x:v>
      </x:c>
      <x:c r="K120" s="43" t="n">
        <x:v>0.0655</x:v>
      </x:c>
      <x:c r="L120" s="9" t="str">
        <x:v>NW</x:v>
      </x:c>
      <x:c r="M120" s="9" t="str"/>
      <x:c r="N120" s="9" t="n">
        <x:v>1</x:v>
      </x:c>
    </x:row>
    <x:row r="121">
      <x:c r="A121" s="9" t="str">
        <x:v>M28</x:v>
      </x:c>
      <x:c r="B121" s="9" t="str">
        <x:v>5/4</x:v>
      </x:c>
      <x:c r="C121" s="9" t="str">
        <x:v>Innenstadt</x:v>
      </x:c>
      <x:c r="D121" s="9" t="str">
        <x:v>Shopping Street</x:v>
      </x:c>
      <x:c r="E121" s="9" t="str">
        <x:v>11371</x:v>
      </x:c>
      <x:c r="F121" s="9" t="n">
        <x:v>1</x:v>
      </x:c>
      <x:c r="G121" s="9" t="n">
        <x:v>1</x:v>
      </x:c>
      <x:c r="H121" s="9" t="n">
        <x:v>25</x:v>
      </x:c>
      <x:c r="I121" s="9" t="n">
        <x:v>25</x:v>
      </x:c>
      <x:c r="J121" s="9" t="n">
        <x:v>36</x:v>
      </x:c>
      <x:c r="K121" s="43" t="n">
        <x:v>0.0625</x:v>
      </x:c>
      <x:c r="L121" s="9" t="str">
        <x:v>Mitte</x:v>
      </x:c>
      <x:c r="M121" s="9" t="str"/>
      <x:c r="N121" s="9" t="n">
        <x:v>3</x:v>
      </x:c>
    </x:row>
    <x:row r="122">
      <x:c r="A122" s="9" t="str">
        <x:v>M35</x:v>
      </x:c>
      <x:c r="B122" s="9" t="str">
        <x:v>6/3</x:v>
      </x:c>
      <x:c r="C122" s="9" t="str">
        <x:v>Innenstadt</x:v>
      </x:c>
      <x:c r="D122" s="9" t="str">
        <x:v>Ferrari F2004 &amp; Michael Schumacher</x:v>
      </x:c>
      <x:c r="E122" s="9" t="str">
        <x:v>11375</x:v>
      </x:c>
      <x:c r="F122" s="9" t="n">
        <x:v>1</x:v>
      </x:c>
      <x:c r="G122" s="9" t="n">
        <x:v>1</x:v>
      </x:c>
      <x:c r="H122" s="9" t="n">
        <x:v>32</x:v>
      </x:c>
      <x:c r="I122" s="9" t="n">
        <x:v>13</x:v>
      </x:c>
      <x:c r="J122" s="9" t="n">
        <x:v>7</x:v>
      </x:c>
      <x:c r="K122" s="43" t="n">
        <x:v>0.0416</x:v>
      </x:c>
      <x:c r="L122" s="9" t="str">
        <x:v>Rand innen</x:v>
      </x:c>
      <x:c r="M122" s="9" t="str"/>
      <x:c r="N122" s="9" t="n">
        <x:v>3</x:v>
      </x:c>
    </x:row>
    <x:row r="123">
      <x:c r="A123" s="9" t="str">
        <x:v>M38</x:v>
      </x:c>
      <x:c r="B123" s="9" t="str">
        <x:v>6/6</x:v>
      </x:c>
      <x:c r="C123" s="9" t="str">
        <x:v>Weltpark</x:v>
      </x:c>
      <x:c r="D123" s="9" t="str">
        <x:v>Burj Khalifa</x:v>
      </x:c>
      <x:c r="E123" s="9" t="str">
        <x:v>21008</x:v>
      </x:c>
      <x:c r="F123" s="9" t="n">
        <x:v>1</x:v>
      </x:c>
      <x:c r="G123" s="9" t="n">
        <x:v>1</x:v>
      </x:c>
      <x:c r="H123" s="9"/>
      <x:c r="I123" s="9"/>
      <x:c r="J123" s="9"/>
      <x:c r="K123" s="43" t="n">
        <x:v>0.025</x:v>
      </x:c>
      <x:c r="L123" s="9" t="str">
        <x:v>SE</x:v>
      </x:c>
      <x:c r="M123" s="9" t="str"/>
      <x:c r="N123" s="9" t="n">
        <x:v>4</x:v>
      </x:c>
    </x:row>
    <x:row r="124">
      <x:c r="A124" s="9" t="str">
        <x:v>M38</x:v>
      </x:c>
      <x:c r="B124" s="9" t="str">
        <x:v>6/6</x:v>
      </x:c>
      <x:c r="C124" s="9" t="str">
        <x:v>Weltpark</x:v>
      </x:c>
      <x:c r="D124" s="9" t="str">
        <x:v>United Nations Headquarters</x:v>
      </x:c>
      <x:c r="E124" s="9" t="str">
        <x:v>21018</x:v>
      </x:c>
      <x:c r="F124" s="9" t="n">
        <x:v>1</x:v>
      </x:c>
      <x:c r="G124" s="9" t="n">
        <x:v>1</x:v>
      </x:c>
      <x:c r="H124" s="9" t="n">
        <x:v>21</x:v>
      </x:c>
      <x:c r="I124" s="9" t="n">
        <x:v>15</x:v>
      </x:c>
      <x:c r="J124" s="9" t="n">
        <x:v>14</x:v>
      </x:c>
      <x:c r="K124" s="43" t="n">
        <x:v>0.0315</x:v>
      </x:c>
      <x:c r="L124" s="9" t="str">
        <x:v>Mitte</x:v>
      </x:c>
      <x:c r="M124" s="9" t="str"/>
      <x:c r="N124" s="9" t="n">
        <x:v>4</x:v>
      </x:c>
    </x:row>
    <x:row r="125">
      <x:c r="A125" s="9" t="str">
        <x:v>M29</x:v>
      </x:c>
      <x:c r="B125" s="9" t="str">
        <x:v>5/5</x:v>
      </x:c>
      <x:c r="C125" s="9" t="str">
        <x:v>Weltpark</x:v>
      </x:c>
      <x:c r="D125" s="9" t="str">
        <x:v>Der Eiffelturm</x:v>
      </x:c>
      <x:c r="E125" s="9" t="str">
        <x:v>21019</x:v>
      </x:c>
      <x:c r="F125" s="9" t="n">
        <x:v>1</x:v>
      </x:c>
      <x:c r="G125" s="9" t="n">
        <x:v>1</x:v>
      </x:c>
      <x:c r="H125" s="9" t="n">
        <x:v>11</x:v>
      </x:c>
      <x:c r="I125" s="9" t="n">
        <x:v>11</x:v>
      </x:c>
      <x:c r="J125" s="9" t="n">
        <x:v>31</x:v>
      </x:c>
      <x:c r="K125" s="43" t="n">
        <x:v>0.0121</x:v>
      </x:c>
      <x:c r="L125" s="9" t="str">
        <x:v>SE</x:v>
      </x:c>
      <x:c r="M125" s="9" t="str"/>
      <x:c r="N125" s="9" t="n">
        <x:v>4</x:v>
      </x:c>
    </x:row>
    <x:row r="126">
      <x:c r="A126" s="9" t="str">
        <x:v>M30</x:v>
      </x:c>
      <x:c r="B126" s="9" t="str">
        <x:v>5/6</x:v>
      </x:c>
      <x:c r="C126" s="9" t="str">
        <x:v>Weltpark</x:v>
      </x:c>
      <x:c r="D126" s="9" t="str">
        <x:v>Flatiron Building</x:v>
      </x:c>
      <x:c r="E126" s="9" t="str">
        <x:v>21023</x:v>
      </x:c>
      <x:c r="F126" s="9" t="n">
        <x:v>1</x:v>
      </x:c>
      <x:c r="G126" s="9" t="n">
        <x:v>1</x:v>
      </x:c>
      <x:c r="H126" s="9" t="n">
        <x:v>8</x:v>
      </x:c>
      <x:c r="I126" s="9" t="n">
        <x:v>11</x:v>
      </x:c>
      <x:c r="J126" s="9" t="n">
        <x:v>15</x:v>
      </x:c>
      <x:c r="K126" s="43" t="n">
        <x:v>0.0088</x:v>
      </x:c>
      <x:c r="L126" s="9" t="str">
        <x:v>SE</x:v>
      </x:c>
      <x:c r="M126" s="9" t="str"/>
      <x:c r="N126" s="9" t="n">
        <x:v>4</x:v>
      </x:c>
    </x:row>
    <x:row r="127">
      <x:c r="A127" s="9" t="str">
        <x:v>M37</x:v>
      </x:c>
      <x:c r="B127" s="9" t="str">
        <x:v>6/5</x:v>
      </x:c>
      <x:c r="C127" s="9" t="str">
        <x:v>Weltpark</x:v>
      </x:c>
      <x:c r="D127" s="9" t="str">
        <x:v>Louvre</x:v>
      </x:c>
      <x:c r="E127" s="9" t="str">
        <x:v>21024</x:v>
      </x:c>
      <x:c r="F127" s="9" t="n">
        <x:v>1</x:v>
      </x:c>
      <x:c r="G127" s="9" t="n">
        <x:v>1</x:v>
      </x:c>
      <x:c r="H127" s="9" t="n">
        <x:v>17</x:v>
      </x:c>
      <x:c r="I127" s="9" t="n">
        <x:v>19</x:v>
      </x:c>
      <x:c r="J127" s="9" t="n">
        <x:v>13</x:v>
      </x:c>
      <x:c r="K127" s="43" t="n">
        <x:v>0.0323</x:v>
      </x:c>
      <x:c r="L127" s="9" t="str">
        <x:v>SE</x:v>
      </x:c>
      <x:c r="M127" s="9" t="str"/>
      <x:c r="N127" s="9" t="n">
        <x:v>4</x:v>
      </x:c>
    </x:row>
    <x:row r="128">
      <x:c r="A128" s="9" t="str">
        <x:v>M38</x:v>
      </x:c>
      <x:c r="B128" s="9" t="str">
        <x:v>6/6</x:v>
      </x:c>
      <x:c r="C128" s="9" t="str">
        <x:v>Weltpark</x:v>
      </x:c>
      <x:c r="D128" s="9" t="str">
        <x:v>Berlin</x:v>
      </x:c>
      <x:c r="E128" s="9" t="str">
        <x:v>21027</x:v>
      </x:c>
      <x:c r="F128" s="9" t="n">
        <x:v>1</x:v>
      </x:c>
      <x:c r="G128" s="9" t="n">
        <x:v>1</x:v>
      </x:c>
      <x:c r="H128" s="9" t="n">
        <x:v>25</x:v>
      </x:c>
      <x:c r="I128" s="9" t="n">
        <x:v>5</x:v>
      </x:c>
      <x:c r="J128" s="9" t="n">
        <x:v>23</x:v>
      </x:c>
      <x:c r="K128" s="43" t="n">
        <x:v>0.0125</x:v>
      </x:c>
      <x:c r="L128" s="9" t="str">
        <x:v>Rand innen</x:v>
      </x:c>
      <x:c r="M128" s="9" t="str"/>
      <x:c r="N128" s="9" t="n">
        <x:v>4</x:v>
      </x:c>
    </x:row>
    <x:row r="129">
      <x:c r="A129" s="9" t="str">
        <x:v>M30</x:v>
      </x:c>
      <x:c r="B129" s="9" t="str">
        <x:v>5/6</x:v>
      </x:c>
      <x:c r="C129" s="9" t="str">
        <x:v>Weltpark</x:v>
      </x:c>
      <x:c r="D129" s="9" t="str">
        <x:v>New York City</x:v>
      </x:c>
      <x:c r="E129" s="9" t="str">
        <x:v>21028</x:v>
      </x:c>
      <x:c r="F129" s="9" t="n">
        <x:v>1</x:v>
      </x:c>
      <x:c r="G129" s="9" t="n">
        <x:v>1</x:v>
      </x:c>
      <x:c r="H129" s="9" t="n">
        <x:v>25</x:v>
      </x:c>
      <x:c r="I129" s="9" t="n">
        <x:v>4</x:v>
      </x:c>
      <x:c r="J129" s="9" t="n">
        <x:v>26</x:v>
      </x:c>
      <x:c r="K129" s="43" t="n">
        <x:v>0.01</x:v>
      </x:c>
      <x:c r="L129" s="9" t="str">
        <x:v>Mitte</x:v>
      </x:c>
      <x:c r="M129" s="9" t="str"/>
      <x:c r="N129" s="9" t="n">
        <x:v>4</x:v>
      </x:c>
    </x:row>
    <x:row r="130">
      <x:c r="A130" s="9" t="str">
        <x:v>M29</x:v>
      </x:c>
      <x:c r="B130" s="9" t="str">
        <x:v>5/5</x:v>
      </x:c>
      <x:c r="C130" s="9" t="str">
        <x:v>Weltpark</x:v>
      </x:c>
      <x:c r="D130" s="9" t="str">
        <x:v>Der Buckingham-Palast</x:v>
      </x:c>
      <x:c r="E130" s="9" t="str">
        <x:v>21029</x:v>
      </x:c>
      <x:c r="F130" s="9" t="n">
        <x:v>1</x:v>
      </x:c>
      <x:c r="G130" s="9" t="n">
        <x:v>1</x:v>
      </x:c>
      <x:c r="H130" s="9" t="n">
        <x:v>20</x:v>
      </x:c>
      <x:c r="I130" s="9" t="n">
        <x:v>19</x:v>
      </x:c>
      <x:c r="J130" s="9" t="n">
        <x:v>10</x:v>
      </x:c>
      <x:c r="K130" s="43" t="n">
        <x:v>0.038</x:v>
      </x:c>
      <x:c r="L130" s="9" t="str">
        <x:v>Mitte</x:v>
      </x:c>
      <x:c r="M130" s="9" t="str"/>
      <x:c r="N130" s="9" t="n">
        <x:v>4</x:v>
      </x:c>
    </x:row>
    <x:row r="131">
      <x:c r="A131" s="9" t="str">
        <x:v>M38</x:v>
      </x:c>
      <x:c r="B131" s="9" t="str">
        <x:v>6/6</x:v>
      </x:c>
      <x:c r="C131" s="9" t="str">
        <x:v>Weltpark</x:v>
      </x:c>
      <x:c r="D131" s="9" t="str">
        <x:v>London</x:v>
      </x:c>
      <x:c r="E131" s="9" t="str">
        <x:v>21034</x:v>
      </x:c>
      <x:c r="F131" s="9" t="n">
        <x:v>1</x:v>
      </x:c>
      <x:c r="G131" s="9" t="n">
        <x:v>1</x:v>
      </x:c>
      <x:c r="H131" s="9" t="n">
        <x:v>28</x:v>
      </x:c>
      <x:c r="I131" s="9" t="n">
        <x:v>8</x:v>
      </x:c>
      <x:c r="J131" s="9" t="n">
        <x:v>15</x:v>
      </x:c>
      <x:c r="K131" s="43" t="n">
        <x:v>0.0224</x:v>
      </x:c>
      <x:c r="L131" s="9" t="str">
        <x:v>Rand außen</x:v>
      </x:c>
      <x:c r="M131" s="9" t="str"/>
      <x:c r="N131" s="9" t="n">
        <x:v>4</x:v>
      </x:c>
    </x:row>
    <x:row r="132">
      <x:c r="A132" s="9" t="str">
        <x:v>M30</x:v>
      </x:c>
      <x:c r="B132" s="9" t="str">
        <x:v>5/6</x:v>
      </x:c>
      <x:c r="C132" s="9" t="str">
        <x:v>Weltpark</x:v>
      </x:c>
      <x:c r="D132" s="9" t="str">
        <x:v>Der Triumphbogen</x:v>
      </x:c>
      <x:c r="E132" s="9" t="str">
        <x:v>21036</x:v>
      </x:c>
      <x:c r="F132" s="9" t="n">
        <x:v>1</x:v>
      </x:c>
      <x:c r="G132" s="9" t="n">
        <x:v>1</x:v>
      </x:c>
      <x:c r="H132" s="9"/>
      <x:c r="I132" s="9"/>
      <x:c r="J132" s="9"/>
      <x:c r="K132" s="43" t="n">
        <x:v>0.025</x:v>
      </x:c>
      <x:c r="L132" s="9" t="str">
        <x:v>Rand innen</x:v>
      </x:c>
      <x:c r="M132" s="9" t="str"/>
      <x:c r="N132" s="9" t="n">
        <x:v>4</x:v>
      </x:c>
    </x:row>
    <x:row r="133">
      <x:c r="A133" s="9" t="str">
        <x:v>M37</x:v>
      </x:c>
      <x:c r="B133" s="9" t="str">
        <x:v>6/5</x:v>
      </x:c>
      <x:c r="C133" s="9" t="str">
        <x:v>Weltpark</x:v>
      </x:c>
      <x:c r="D133" s="9" t="str">
        <x:v>LEGO® House</x:v>
      </x:c>
      <x:c r="E133" s="9" t="str">
        <x:v>21037</x:v>
      </x:c>
      <x:c r="F133" s="9" t="n">
        <x:v>1</x:v>
      </x:c>
      <x:c r="G133" s="9" t="n">
        <x:v>1</x:v>
      </x:c>
      <x:c r="H133" s="9"/>
      <x:c r="I133" s="9"/>
      <x:c r="J133" s="9"/>
      <x:c r="K133" s="43" t="n">
        <x:v>0.025</x:v>
      </x:c>
      <x:c r="L133" s="9" t="str">
        <x:v>Mitte</x:v>
      </x:c>
      <x:c r="M133" s="9" t="str"/>
      <x:c r="N133" s="9" t="n">
        <x:v>4</x:v>
      </x:c>
    </x:row>
    <x:row r="134">
      <x:c r="A134" s="9" t="str">
        <x:v>M38</x:v>
      </x:c>
      <x:c r="B134" s="9" t="str">
        <x:v>6/6</x:v>
      </x:c>
      <x:c r="C134" s="9" t="str">
        <x:v>Weltpark</x:v>
      </x:c>
      <x:c r="D134" s="9" t="str">
        <x:v>Die Chinesische Mauer</x:v>
      </x:c>
      <x:c r="E134" s="9" t="str">
        <x:v>21041</x:v>
      </x:c>
      <x:c r="F134" s="9" t="n">
        <x:v>1</x:v>
      </x:c>
      <x:c r="G134" s="9" t="n">
        <x:v>1</x:v>
      </x:c>
      <x:c r="H134" s="9"/>
      <x:c r="I134" s="9"/>
      <x:c r="J134" s="9"/>
      <x:c r="K134" s="43" t="n">
        <x:v>0.025</x:v>
      </x:c>
      <x:c r="L134" s="9" t="str">
        <x:v>NW</x:v>
      </x:c>
      <x:c r="M134" s="9" t="str"/>
      <x:c r="N134" s="9" t="n">
        <x:v>4</x:v>
      </x:c>
    </x:row>
    <x:row r="135">
      <x:c r="A135" s="9" t="str">
        <x:v>M30</x:v>
      </x:c>
      <x:c r="B135" s="9" t="str">
        <x:v>5/6</x:v>
      </x:c>
      <x:c r="C135" s="9" t="str">
        <x:v>Weltpark</x:v>
      </x:c>
      <x:c r="D135" s="9" t="str">
        <x:v>Freiheitsstatue</x:v>
      </x:c>
      <x:c r="E135" s="9" t="str">
        <x:v>21042</x:v>
      </x:c>
      <x:c r="F135" s="9" t="n">
        <x:v>1</x:v>
      </x:c>
      <x:c r="G135" s="9" t="n">
        <x:v>1</x:v>
      </x:c>
      <x:c r="H135" s="9"/>
      <x:c r="I135" s="9"/>
      <x:c r="J135" s="9"/>
      <x:c r="K135" s="43" t="n">
        <x:v>0.025</x:v>
      </x:c>
      <x:c r="L135" s="9" t="str">
        <x:v>Rand außen</x:v>
      </x:c>
      <x:c r="M135" s="9" t="str"/>
      <x:c r="N135" s="9" t="n">
        <x:v>4</x:v>
      </x:c>
    </x:row>
    <x:row r="136">
      <x:c r="A136" s="9" t="str">
        <x:v>M29</x:v>
      </x:c>
      <x:c r="B136" s="9" t="str">
        <x:v>5/5</x:v>
      </x:c>
      <x:c r="C136" s="9" t="str">
        <x:v>Weltpark</x:v>
      </x:c>
      <x:c r="D136" s="9" t="str">
        <x:v>San Francisco</x:v>
      </x:c>
      <x:c r="E136" s="9" t="str">
        <x:v>21043</x:v>
      </x:c>
      <x:c r="F136" s="9" t="n">
        <x:v>1</x:v>
      </x:c>
      <x:c r="G136" s="9" t="n">
        <x:v>1</x:v>
      </x:c>
      <x:c r="H136" s="9"/>
      <x:c r="I136" s="9"/>
      <x:c r="J136" s="9"/>
      <x:c r="K136" s="43" t="n">
        <x:v>0.025</x:v>
      </x:c>
      <x:c r="L136" s="9" t="str">
        <x:v>Rand innen</x:v>
      </x:c>
      <x:c r="M136" s="9" t="str"/>
      <x:c r="N136" s="9" t="n">
        <x:v>4</x:v>
      </x:c>
    </x:row>
    <x:row r="137">
      <x:c r="A137" s="9" t="str">
        <x:v>M37</x:v>
      </x:c>
      <x:c r="B137" s="9" t="str">
        <x:v>6/5</x:v>
      </x:c>
      <x:c r="C137" s="9" t="str">
        <x:v>Weltpark</x:v>
      </x:c>
      <x:c r="D137" s="9" t="str">
        <x:v>Trafalgar Square</x:v>
      </x:c>
      <x:c r="E137" s="9" t="str">
        <x:v>21045</x:v>
      </x:c>
      <x:c r="F137" s="9" t="n">
        <x:v>1</x:v>
      </x:c>
      <x:c r="G137" s="9" t="n">
        <x:v>1</x:v>
      </x:c>
      <x:c r="H137" s="9"/>
      <x:c r="I137" s="9"/>
      <x:c r="J137" s="9"/>
      <x:c r="K137" s="43" t="n">
        <x:v>0.025</x:v>
      </x:c>
      <x:c r="L137" s="9" t="str">
        <x:v>Rand innen</x:v>
      </x:c>
      <x:c r="M137" s="9" t="str"/>
      <x:c r="N137" s="9" t="n">
        <x:v>4</x:v>
      </x:c>
    </x:row>
    <x:row r="138">
      <x:c r="A138" s="9" t="str">
        <x:v>M38</x:v>
      </x:c>
      <x:c r="B138" s="9" t="str">
        <x:v>6/6</x:v>
      </x:c>
      <x:c r="C138" s="9" t="str">
        <x:v>Weltpark</x:v>
      </x:c>
      <x:c r="D138" s="9" t="str">
        <x:v>Empire State Building</x:v>
      </x:c>
      <x:c r="E138" s="9" t="str">
        <x:v>21046</x:v>
      </x:c>
      <x:c r="F138" s="9" t="n">
        <x:v>1</x:v>
      </x:c>
      <x:c r="G138" s="9" t="n">
        <x:v>1</x:v>
      </x:c>
      <x:c r="H138" s="9"/>
      <x:c r="I138" s="9"/>
      <x:c r="J138" s="9"/>
      <x:c r="K138" s="43" t="n">
        <x:v>0.025</x:v>
      </x:c>
      <x:c r="L138" s="9" t="str">
        <x:v>NE</x:v>
      </x:c>
      <x:c r="M138" s="9" t="str"/>
      <x:c r="N138" s="9" t="n">
        <x:v>4</x:v>
      </x:c>
    </x:row>
    <x:row r="139">
      <x:c r="A139" s="9" t="str">
        <x:v>M30</x:v>
      </x:c>
      <x:c r="B139" s="9" t="str">
        <x:v>5/6</x:v>
      </x:c>
      <x:c r="C139" s="9" t="str">
        <x:v>Weltpark</x:v>
      </x:c>
      <x:c r="D139" s="9" t="str">
        <x:v>Las Vegas</x:v>
      </x:c>
      <x:c r="E139" s="9" t="str">
        <x:v>21047</x:v>
      </x:c>
      <x:c r="F139" s="9" t="n">
        <x:v>1</x:v>
      </x:c>
      <x:c r="G139" s="9" t="n">
        <x:v>1</x:v>
      </x:c>
      <x:c r="H139" s="9"/>
      <x:c r="I139" s="9"/>
      <x:c r="J139" s="9"/>
      <x:c r="K139" s="43" t="n">
        <x:v>0.025</x:v>
      </x:c>
      <x:c r="L139" s="9" t="str">
        <x:v>NW</x:v>
      </x:c>
      <x:c r="M139" s="9" t="str"/>
      <x:c r="N139" s="9" t="n">
        <x:v>4</x:v>
      </x:c>
    </x:row>
    <x:row r="140">
      <x:c r="A140" s="9" t="str">
        <x:v>M29</x:v>
      </x:c>
      <x:c r="B140" s="9" t="str">
        <x:v>5/5</x:v>
      </x:c>
      <x:c r="C140" s="9" t="str">
        <x:v>Weltpark</x:v>
      </x:c>
      <x:c r="D140" s="9" t="str">
        <x:v>Taj Mahal</x:v>
      </x:c>
      <x:c r="E140" s="9" t="str">
        <x:v>21056</x:v>
      </x:c>
      <x:c r="F140" s="9" t="n">
        <x:v>1</x:v>
      </x:c>
      <x:c r="G140" s="9" t="n">
        <x:v>1</x:v>
      </x:c>
      <x:c r="H140" s="9"/>
      <x:c r="I140" s="9"/>
      <x:c r="J140" s="9"/>
      <x:c r="K140" s="43" t="n">
        <x:v>0.025</x:v>
      </x:c>
      <x:c r="L140" s="9" t="str">
        <x:v>Rand außen</x:v>
      </x:c>
      <x:c r="M140" s="9" t="str"/>
      <x:c r="N140" s="9" t="n">
        <x:v>4</x:v>
      </x:c>
    </x:row>
    <x:row r="141">
      <x:c r="A141" s="9" t="str">
        <x:v>M37</x:v>
      </x:c>
      <x:c r="B141" s="9" t="str">
        <x:v>6/5</x:v>
      </x:c>
      <x:c r="C141" s="9" t="str">
        <x:v>Weltpark</x:v>
      </x:c>
      <x:c r="D141" s="9" t="str">
        <x:v>Singapur</x:v>
      </x:c>
      <x:c r="E141" s="9" t="str">
        <x:v>21057</x:v>
      </x:c>
      <x:c r="F141" s="9" t="n">
        <x:v>1</x:v>
      </x:c>
      <x:c r="G141" s="9" t="n">
        <x:v>1</x:v>
      </x:c>
      <x:c r="H141" s="9"/>
      <x:c r="I141" s="9"/>
      <x:c r="J141" s="9"/>
      <x:c r="K141" s="43" t="n">
        <x:v>0.025</x:v>
      </x:c>
      <x:c r="L141" s="9" t="str">
        <x:v>Rand außen</x:v>
      </x:c>
      <x:c r="M141" s="9" t="str"/>
      <x:c r="N141" s="9" t="n">
        <x:v>4</x:v>
      </x:c>
    </x:row>
    <x:row r="142">
      <x:c r="A142" s="9" t="str">
        <x:v>M38</x:v>
      </x:c>
      <x:c r="B142" s="9" t="str">
        <x:v>6/6</x:v>
      </x:c>
      <x:c r="C142" s="9" t="str">
        <x:v>Weltpark</x:v>
      </x:c>
      <x:c r="D142" s="9" t="str">
        <x:v>Burg Himeji</x:v>
      </x:c>
      <x:c r="E142" s="9" t="str">
        <x:v>21060</x:v>
      </x:c>
      <x:c r="F142" s="9" t="n">
        <x:v>1</x:v>
      </x:c>
      <x:c r="G142" s="9" t="n">
        <x:v>1</x:v>
      </x:c>
      <x:c r="H142" s="9"/>
      <x:c r="I142" s="9"/>
      <x:c r="J142" s="9"/>
      <x:c r="K142" s="43" t="n">
        <x:v>0.025</x:v>
      </x:c>
      <x:c r="L142" s="9" t="str">
        <x:v>SW</x:v>
      </x:c>
      <x:c r="M142" s="9" t="str"/>
      <x:c r="N142" s="9" t="n">
        <x:v>4</x:v>
      </x:c>
    </x:row>
    <x:row r="143">
      <x:c r="A143" s="9" t="str">
        <x:v>M30</x:v>
      </x:c>
      <x:c r="B143" s="9" t="str">
        <x:v>5/6</x:v>
      </x:c>
      <x:c r="C143" s="9" t="str">
        <x:v>Weltpark</x:v>
      </x:c>
      <x:c r="D143" s="9" t="str">
        <x:v>Notre-Dame de Paris</x:v>
      </x:c>
      <x:c r="E143" s="9" t="str">
        <x:v>21061</x:v>
      </x:c>
      <x:c r="F143" s="9" t="n">
        <x:v>1</x:v>
      </x:c>
      <x:c r="G143" s="9" t="n">
        <x:v>1</x:v>
      </x:c>
      <x:c r="H143" s="9"/>
      <x:c r="I143" s="9"/>
      <x:c r="J143" s="9"/>
      <x:c r="K143" s="43" t="n">
        <x:v>0.025</x:v>
      </x:c>
      <x:c r="L143" s="9" t="str">
        <x:v>NE</x:v>
      </x:c>
      <x:c r="M143" s="9" t="str"/>
      <x:c r="N143" s="9" t="n">
        <x:v>4</x:v>
      </x:c>
    </x:row>
    <x:row r="144">
      <x:c r="A144" s="9" t="str">
        <x:v>M29</x:v>
      </x:c>
      <x:c r="B144" s="9" t="str">
        <x:v>5/5</x:v>
      </x:c>
      <x:c r="C144" s="9" t="str">
        <x:v>Weltpark</x:v>
      </x:c>
      <x:c r="D144" s="9" t="str">
        <x:v>Trevi-Brunnen</x:v>
      </x:c>
      <x:c r="E144" s="9" t="str">
        <x:v>21062</x:v>
      </x:c>
      <x:c r="F144" s="9" t="n">
        <x:v>1</x:v>
      </x:c>
      <x:c r="G144" s="9" t="n">
        <x:v>1</x:v>
      </x:c>
      <x:c r="H144" s="9"/>
      <x:c r="I144" s="9"/>
      <x:c r="J144" s="9"/>
      <x:c r="K144" s="43" t="n">
        <x:v>0.025</x:v>
      </x:c>
      <x:c r="L144" s="9" t="str">
        <x:v>NW</x:v>
      </x:c>
      <x:c r="M144" s="9" t="str"/>
      <x:c r="N144" s="9" t="n">
        <x:v>4</x:v>
      </x:c>
    </x:row>
    <x:row r="145">
      <x:c r="A145" s="9" t="str">
        <x:v>M37</x:v>
      </x:c>
      <x:c r="B145" s="9" t="str">
        <x:v>6/5</x:v>
      </x:c>
      <x:c r="C145" s="9" t="str">
        <x:v>Weltpark</x:v>
      </x:c>
      <x:c r="D145" s="9" t="str">
        <x:v>Schloss Neuschwanstein</x:v>
      </x:c>
      <x:c r="E145" s="9" t="str">
        <x:v>21063</x:v>
      </x:c>
      <x:c r="F145" s="9" t="n">
        <x:v>1</x:v>
      </x:c>
      <x:c r="G145" s="9" t="n">
        <x:v>1</x:v>
      </x:c>
      <x:c r="H145" s="9"/>
      <x:c r="I145" s="9"/>
      <x:c r="J145" s="9"/>
      <x:c r="K145" s="43" t="n">
        <x:v>0.025</x:v>
      </x:c>
      <x:c r="L145" s="9" t="str">
        <x:v>NW</x:v>
      </x:c>
      <x:c r="M145" s="9" t="str"/>
      <x:c r="N145" s="9" t="n">
        <x:v>4</x:v>
      </x:c>
    </x:row>
    <x:row r="146">
      <x:c r="A146" s="9" t="str">
        <x:v>M38</x:v>
      </x:c>
      <x:c r="B146" s="9" t="str">
        <x:v>6/6</x:v>
      </x:c>
      <x:c r="C146" s="9" t="str">
        <x:v>Weltpark</x:v>
      </x:c>
      <x:c r="D146" s="9" t="str">
        <x:v>Paris - City of Love</x:v>
      </x:c>
      <x:c r="E146" s="9" t="str">
        <x:v>21064</x:v>
      </x:c>
      <x:c r="F146" s="9" t="n">
        <x:v>1</x:v>
      </x:c>
      <x:c r="G146" s="9" t="n">
        <x:v>1</x:v>
      </x:c>
      <x:c r="H146" s="9"/>
      <x:c r="I146" s="9"/>
      <x:c r="J146" s="9"/>
      <x:c r="K146" s="43" t="n">
        <x:v>0.025</x:v>
      </x:c>
      <x:c r="L146" s="9" t="str">
        <x:v>SE</x:v>
      </x:c>
      <x:c r="M146" s="9" t="str"/>
      <x:c r="N146" s="9" t="n">
        <x:v>4</x:v>
      </x:c>
    </x:row>
    <x:row r="147">
      <x:c r="A147" s="9" t="str">
        <x:v>M33</x:v>
      </x:c>
      <x:c r="B147" s="9" t="str">
        <x:v>6/1</x:v>
      </x:c>
      <x:c r="C147" s="9" t="str">
        <x:v>Hafen/Piraten</x:v>
      </x:c>
      <x:c r="D147" s="9" t="str">
        <x:v>Alter Angelladen</x:v>
      </x:c>
      <x:c r="E147" s="9" t="str">
        <x:v>21310</x:v>
      </x:c>
      <x:c r="F147" s="9" t="n">
        <x:v>1</x:v>
      </x:c>
      <x:c r="G147" s="9" t="n">
        <x:v>1</x:v>
      </x:c>
      <x:c r="H147" s="9" t="n">
        <x:v>25</x:v>
      </x:c>
      <x:c r="I147" s="9" t="n">
        <x:v>25</x:v>
      </x:c>
      <x:c r="J147" s="9" t="n">
        <x:v>32</x:v>
      </x:c>
      <x:c r="K147" s="43" t="n">
        <x:v>0.0625</x:v>
      </x:c>
      <x:c r="L147" s="9" t="str">
        <x:v>SE</x:v>
      </x:c>
      <x:c r="M147" s="9" t="str"/>
      <x:c r="N147" s="9" t="n">
        <x:v>2</x:v>
      </x:c>
    </x:row>
    <x:row r="148">
      <x:c r="A148" s="9" t="str">
        <x:v>M27</x:v>
      </x:c>
      <x:c r="B148" s="9" t="str">
        <x:v>5/3</x:v>
      </x:c>
      <x:c r="C148" s="9" t="str">
        <x:v>Innenstadt</x:v>
      </x:c>
      <x:c r="D148" s="9" t="str">
        <x:v>The Flintstones</x:v>
      </x:c>
      <x:c r="E148" s="9" t="str">
        <x:v>21316</x:v>
      </x:c>
      <x:c r="F148" s="9" t="n">
        <x:v>1</x:v>
      </x:c>
      <x:c r="G148" s="9" t="n">
        <x:v>1</x:v>
      </x:c>
      <x:c r="H148" s="9" t="n">
        <x:v>16</x:v>
      </x:c>
      <x:c r="I148" s="9" t="n">
        <x:v>12</x:v>
      </x:c>
      <x:c r="J148" s="9" t="n">
        <x:v>12</x:v>
      </x:c>
      <x:c r="K148" s="43" t="n">
        <x:v>0.0192</x:v>
      </x:c>
      <x:c r="L148" s="9" t="str">
        <x:v>Rand innen</x:v>
      </x:c>
      <x:c r="M148" s="9" t="str"/>
      <x:c r="N148" s="9" t="n">
        <x:v>3</x:v>
      </x:c>
    </x:row>
    <x:row r="149">
      <x:c r="A149" s="9" t="str">
        <x:v>M39</x:v>
      </x:c>
      <x:c r="B149" s="9" t="str">
        <x:v>6/7</x:v>
      </x:c>
      <x:c r="C149" s="9" t="str">
        <x:v>Botanik/Technik</x:v>
      </x:c>
      <x:c r="D149" s="9" t="str">
        <x:v>Steamboat Willie</x:v>
      </x:c>
      <x:c r="E149" s="9" t="str">
        <x:v>21317</x:v>
      </x:c>
      <x:c r="F149" s="9" t="n">
        <x:v>1</x:v>
      </x:c>
      <x:c r="G149" s="9" t="n">
        <x:v>1</x:v>
      </x:c>
      <x:c r="H149" s="9"/>
      <x:c r="I149" s="9"/>
      <x:c r="J149" s="9"/>
      <x:c r="K149" s="43" t="n">
        <x:v>0.035</x:v>
      </x:c>
      <x:c r="L149" s="9" t="str">
        <x:v>Mitte</x:v>
      </x:c>
      <x:c r="M149" s="9" t="str"/>
      <x:c r="N149" s="9" t="n">
        <x:v>4</x:v>
      </x:c>
    </x:row>
    <x:row r="150">
      <x:c r="A150" s="9" t="str">
        <x:v>M40</x:v>
      </x:c>
      <x:c r="B150" s="9" t="str">
        <x:v>6/8</x:v>
      </x:c>
      <x:c r="C150" s="9" t="str">
        <x:v>Botanik/Technik</x:v>
      </x:c>
      <x:c r="D150" s="9" t="str">
        <x:v>Baumhaus</x:v>
      </x:c>
      <x:c r="E150" s="9" t="str">
        <x:v>21318</x:v>
      </x:c>
      <x:c r="F150" s="9" t="n">
        <x:v>1</x:v>
      </x:c>
      <x:c r="G150" s="9" t="n">
        <x:v>1</x:v>
      </x:c>
      <x:c r="H150" s="9" t="n">
        <x:v>27</x:v>
      </x:c>
      <x:c r="I150" s="9" t="n">
        <x:v>24</x:v>
      </x:c>
      <x:c r="J150" s="9" t="n">
        <x:v>37</x:v>
      </x:c>
      <x:c r="K150" s="43" t="n">
        <x:v>0.0648</x:v>
      </x:c>
      <x:c r="L150" s="9" t="str">
        <x:v>Mitte</x:v>
      </x:c>
      <x:c r="M150" s="9" t="str"/>
      <x:c r="N150" s="9" t="n">
        <x:v>4</x:v>
      </x:c>
    </x:row>
    <x:row r="151">
      <x:c r="A151" s="9" t="str">
        <x:v>M36</x:v>
      </x:c>
      <x:c r="B151" s="9" t="str">
        <x:v>6/4</x:v>
      </x:c>
      <x:c r="C151" s="9" t="str">
        <x:v>Innenstadt</x:v>
      </x:c>
      <x:c r="D151" s="9" t="str">
        <x:v>123 Sesame Street</x:v>
      </x:c>
      <x:c r="E151" s="9" t="str">
        <x:v>21324</x:v>
      </x:c>
      <x:c r="F151" s="9" t="n">
        <x:v>1</x:v>
      </x:c>
      <x:c r="G151" s="9" t="n">
        <x:v>1</x:v>
      </x:c>
      <x:c r="H151" s="9" t="n">
        <x:v>36.2</x:v>
      </x:c>
      <x:c r="I151" s="9" t="n">
        <x:v>21</x:v>
      </x:c>
      <x:c r="J151" s="9" t="n">
        <x:v>24</x:v>
      </x:c>
      <x:c r="K151" s="43" t="n">
        <x:v>0.076</x:v>
      </x:c>
      <x:c r="L151" s="9" t="str">
        <x:v>Rand außen</x:v>
      </x:c>
      <x:c r="M151" s="9" t="str"/>
      <x:c r="N151" s="9" t="n">
        <x:v>3</x:v>
      </x:c>
    </x:row>
    <x:row r="152">
      <x:c r="A152" s="9" t="str">
        <x:v>M27</x:v>
      </x:c>
      <x:c r="B152" s="9" t="str">
        <x:v>5/3</x:v>
      </x:c>
      <x:c r="C152" s="9" t="str">
        <x:v>Innenstadt</x:v>
      </x:c>
      <x:c r="D152" s="9" t="str">
        <x:v>Mittelalterliche Schmiede</x:v>
      </x:c>
      <x:c r="E152" s="9" t="str">
        <x:v>21325</x:v>
      </x:c>
      <x:c r="F152" s="9" t="n">
        <x:v>1</x:v>
      </x:c>
      <x:c r="G152" s="9" t="n">
        <x:v>1</x:v>
      </x:c>
      <x:c r="H152" s="9" t="n">
        <x:v>27</x:v>
      </x:c>
      <x:c r="I152" s="9" t="n">
        <x:v>21</x:v>
      </x:c>
      <x:c r="J152" s="9" t="n">
        <x:v>27</x:v>
      </x:c>
      <x:c r="K152" s="43" t="n">
        <x:v>0.0567</x:v>
      </x:c>
      <x:c r="L152" s="9" t="str">
        <x:v>Rand außen</x:v>
      </x:c>
      <x:c r="M152" s="9" t="str"/>
      <x:c r="N152" s="9" t="n">
        <x:v>3</x:v>
      </x:c>
    </x:row>
    <x:row r="153">
      <x:c r="A153" s="9" t="str">
        <x:v>M32</x:v>
      </x:c>
      <x:c r="B153" s="9" t="str">
        <x:v>5/8</x:v>
      </x:c>
      <x:c r="C153" s="9" t="str">
        <x:v>Botanik/Technik</x:v>
      </x:c>
      <x:c r="D153" s="9" t="str">
        <x:v>Winnie Puh</x:v>
      </x:c>
      <x:c r="E153" s="9" t="str">
        <x:v>21326</x:v>
      </x:c>
      <x:c r="F153" s="9" t="n">
        <x:v>1</x:v>
      </x:c>
      <x:c r="G153" s="9" t="n">
        <x:v>1</x:v>
      </x:c>
      <x:c r="H153" s="9" t="n">
        <x:v>18</x:v>
      </x:c>
      <x:c r="I153" s="9" t="n">
        <x:v>24</x:v>
      </x:c>
      <x:c r="J153" s="9" t="n">
        <x:v>22</x:v>
      </x:c>
      <x:c r="K153" s="43" t="n">
        <x:v>0.0432</x:v>
      </x:c>
      <x:c r="L153" s="9" t="str">
        <x:v>Mitte</x:v>
      </x:c>
      <x:c r="M153" s="9" t="str"/>
      <x:c r="N153" s="9" t="n">
        <x:v>4</x:v>
      </x:c>
    </x:row>
    <x:row r="154">
      <x:c r="A154" s="9" t="str">
        <x:v>M35</x:v>
      </x:c>
      <x:c r="B154" s="9" t="str">
        <x:v>6/3</x:v>
      </x:c>
      <x:c r="C154" s="9" t="str">
        <x:v>Innenstadt</x:v>
      </x:c>
      <x:c r="D154" s="9" t="str">
        <x:v>LEGO® Ideas Home Alone</x:v>
      </x:c>
      <x:c r="E154" s="9" t="str">
        <x:v>21330</x:v>
      </x:c>
      <x:c r="F154" s="9" t="n">
        <x:v>1</x:v>
      </x:c>
      <x:c r="G154" s="9" t="n">
        <x:v>1</x:v>
      </x:c>
      <x:c r="H154" s="9" t="n">
        <x:v>34</x:v>
      </x:c>
      <x:c r="I154" s="9" t="n">
        <x:v>37</x:v>
      </x:c>
      <x:c r="J154" s="9" t="n">
        <x:v>27</x:v>
      </x:c>
      <x:c r="K154" s="43" t="n">
        <x:v>0.1258</x:v>
      </x:c>
      <x:c r="L154" s="9" t="str">
        <x:v>Rand außen</x:v>
      </x:c>
      <x:c r="M154" s="9" t="str"/>
      <x:c r="N154" s="9" t="n">
        <x:v>3</x:v>
      </x:c>
    </x:row>
    <x:row r="155">
      <x:c r="A155" s="9" t="str">
        <x:v>M25</x:v>
      </x:c>
      <x:c r="B155" s="9" t="str">
        <x:v>5/1</x:v>
      </x:c>
      <x:c r="C155" s="9" t="str">
        <x:v>Hafen/Piraten</x:v>
      </x:c>
      <x:c r="D155" s="9" t="str">
        <x:v>Motorisierter Leuchtturm</x:v>
      </x:c>
      <x:c r="E155" s="9" t="str">
        <x:v>21335</x:v>
      </x:c>
      <x:c r="F155" s="9" t="n">
        <x:v>1</x:v>
      </x:c>
      <x:c r="G155" s="9" t="n">
        <x:v>1</x:v>
      </x:c>
      <x:c r="H155" s="9" t="n">
        <x:v>25</x:v>
      </x:c>
      <x:c r="I155" s="9" t="n">
        <x:v>25</x:v>
      </x:c>
      <x:c r="J155" s="9" t="n">
        <x:v>54</x:v>
      </x:c>
      <x:c r="K155" s="43" t="n">
        <x:v>0.0625</x:v>
      </x:c>
      <x:c r="L155" s="9" t="str">
        <x:v>SE</x:v>
      </x:c>
      <x:c r="M155" s="9" t="str"/>
      <x:c r="N155" s="9" t="n">
        <x:v>2</x:v>
      </x:c>
    </x:row>
    <x:row r="156">
      <x:c r="A156" s="9" t="str">
        <x:v>M18</x:v>
      </x:c>
      <x:c r="B156" s="9" t="str">
        <x:v>3/2</x:v>
      </x:c>
      <x:c r="C156" s="9" t="str">
        <x:v>Hafen/Piraten</x:v>
      </x:c>
      <x:c r="D156" s="9" t="str">
        <x:v>Finnhütte</x:v>
      </x:c>
      <x:c r="E156" s="9" t="str">
        <x:v>21338</x:v>
      </x:c>
      <x:c r="F156" s="9" t="n">
        <x:v>1</x:v>
      </x:c>
      <x:c r="G156" s="9" t="n">
        <x:v>1</x:v>
      </x:c>
      <x:c r="H156" s="9" t="n">
        <x:v>21</x:v>
      </x:c>
      <x:c r="I156" s="9" t="n">
        <x:v>22</x:v>
      </x:c>
      <x:c r="J156" s="9" t="n">
        <x:v>24</x:v>
      </x:c>
      <x:c r="K156" s="43" t="n">
        <x:v>0.0462</x:v>
      </x:c>
      <x:c r="L156" s="9" t="str">
        <x:v>SW</x:v>
      </x:c>
      <x:c r="M156" s="9" t="str"/>
      <x:c r="N156" s="9" t="n">
        <x:v>2</x:v>
      </x:c>
    </x:row>
    <x:row r="157">
      <x:c r="A157" s="9" t="str">
        <x:v>M39</x:v>
      </x:c>
      <x:c r="B157" s="9" t="str">
        <x:v>6/7</x:v>
      </x:c>
      <x:c r="C157" s="9" t="str">
        <x:v>Botanik/Technik</x:v>
      </x:c>
      <x:c r="D157" s="9" t="str">
        <x:v>BTS Dynamite</x:v>
      </x:c>
      <x:c r="E157" s="9" t="str">
        <x:v>21339</x:v>
      </x:c>
      <x:c r="F157" s="9" t="n">
        <x:v>1</x:v>
      </x:c>
      <x:c r="G157" s="9" t="n">
        <x:v>1</x:v>
      </x:c>
      <x:c r="H157" s="9"/>
      <x:c r="I157" s="9"/>
      <x:c r="J157" s="9"/>
      <x:c r="K157" s="43" t="n">
        <x:v>0.035</x:v>
      </x:c>
      <x:c r="L157" s="9" t="str">
        <x:v>Rand innen</x:v>
      </x:c>
      <x:c r="M157" s="9" t="str"/>
      <x:c r="N157" s="9" t="n">
        <x:v>4</x:v>
      </x:c>
    </x:row>
    <x:row r="158">
      <x:c r="A158" s="9" t="str">
        <x:v>M21</x:v>
      </x:c>
      <x:c r="B158" s="9" t="str">
        <x:v>4/1</x:v>
      </x:c>
      <x:c r="C158" s="9" t="str">
        <x:v>Hafen/Piraten</x:v>
      </x:c>
      <x:c r="D158" s="9" t="str">
        <x:v>Disney Hocus Pocus: Das Hexenhaus...</x:v>
      </x:c>
      <x:c r="E158" s="9" t="str">
        <x:v>21341</x:v>
      </x:c>
      <x:c r="F158" s="9" t="n">
        <x:v>1</x:v>
      </x:c>
      <x:c r="G158" s="9" t="n">
        <x:v>1</x:v>
      </x:c>
      <x:c r="H158" s="9" t="n">
        <x:v>26</x:v>
      </x:c>
      <x:c r="I158" s="9" t="n">
        <x:v>24</x:v>
      </x:c>
      <x:c r="J158" s="9" t="n">
        <x:v>27</x:v>
      </x:c>
      <x:c r="K158" s="43" t="n">
        <x:v>0.0624</x:v>
      </x:c>
      <x:c r="L158" s="9" t="str">
        <x:v>SW</x:v>
      </x:c>
      <x:c r="M158" s="9" t="str"/>
      <x:c r="N158" s="9" t="n">
        <x:v>2</x:v>
      </x:c>
    </x:row>
    <x:row r="159">
      <x:c r="A159" s="9" t="str">
        <x:v>M28</x:v>
      </x:c>
      <x:c r="B159" s="9" t="str">
        <x:v>5/4</x:v>
      </x:c>
      <x:c r="C159" s="9" t="str">
        <x:v>Innenstadt</x:v>
      </x:c>
      <x:c r="D159" s="9" t="str">
        <x:v>Wikingerdorf</x:v>
      </x:c>
      <x:c r="E159" s="9" t="str">
        <x:v>21343</x:v>
      </x:c>
      <x:c r="F159" s="9" t="n">
        <x:v>1</x:v>
      </x:c>
      <x:c r="G159" s="9" t="n">
        <x:v>1</x:v>
      </x:c>
      <x:c r="H159" s="9" t="n">
        <x:v>46</x:v>
      </x:c>
      <x:c r="I159" s="9" t="n">
        <x:v>26</x:v>
      </x:c>
      <x:c r="J159" s="9" t="n">
        <x:v>24</x:v>
      </x:c>
      <x:c r="K159" s="43" t="n">
        <x:v>0.1196</x:v>
      </x:c>
      <x:c r="L159" s="9" t="str">
        <x:v>Rand innen</x:v>
      </x:c>
      <x:c r="M159" s="9" t="str"/>
      <x:c r="N159" s="9" t="n">
        <x:v>3</x:v>
      </x:c>
    </x:row>
    <x:row r="160">
      <x:c r="A160" s="9" t="str">
        <x:v>M12</x:v>
      </x:c>
      <x:c r="B160" s="9" t="str">
        <x:v>2/4</x:v>
      </x:c>
      <x:c r="C160" s="9" t="str">
        <x:v>Bahn</x:v>
      </x:c>
      <x:c r="D160" s="9" t="str">
        <x:v>Der Orientexpress</x:v>
      </x:c>
      <x:c r="E160" s="9" t="str">
        <x:v>21344</x:v>
      </x:c>
      <x:c r="F160" s="9" t="n">
        <x:v>1</x:v>
      </x:c>
      <x:c r="G160" s="9" t="n">
        <x:v>1</x:v>
      </x:c>
      <x:c r="H160" s="9" t="n">
        <x:v>116</x:v>
      </x:c>
      <x:c r="I160" s="9" t="n">
        <x:v>8</x:v>
      </x:c>
      <x:c r="J160" s="9" t="n">
        <x:v>12</x:v>
      </x:c>
      <x:c r="K160" s="43" t="n">
        <x:v>0.0928</x:v>
      </x:c>
      <x:c r="L160" s="9" t="str">
        <x:v>ganze Breite</x:v>
      </x:c>
      <x:c r="M160" s="9" t="str">
        <x:v>benötigt 2 Module längs</x:v>
      </x:c>
      <x:c r="N160" s="9" t="n">
        <x:v>2</x:v>
      </x:c>
    </x:row>
    <x:row r="161">
      <x:c r="A161" s="9" t="str">
        <x:v>M31</x:v>
      </x:c>
      <x:c r="B161" s="9" t="str">
        <x:v>5/7</x:v>
      </x:c>
      <x:c r="C161" s="9" t="str">
        <x:v>Botanik/Technik</x:v>
      </x:c>
      <x:c r="D161" s="9" t="str">
        <x:v>Polaroid OneStep SX-70 Sofortbildkamera</x:v>
      </x:c>
      <x:c r="E161" s="9" t="str">
        <x:v>21345</x:v>
      </x:c>
      <x:c r="F161" s="9" t="n">
        <x:v>1</x:v>
      </x:c>
      <x:c r="G161" s="9" t="n">
        <x:v>1</x:v>
      </x:c>
      <x:c r="H161" s="9"/>
      <x:c r="I161" s="9"/>
      <x:c r="J161" s="9"/>
      <x:c r="K161" s="43" t="n">
        <x:v>0.035</x:v>
      </x:c>
      <x:c r="L161" s="9" t="str">
        <x:v>SE</x:v>
      </x:c>
      <x:c r="M161" s="9" t="str"/>
      <x:c r="N161" s="9" t="n">
        <x:v>4</x:v>
      </x:c>
    </x:row>
    <x:row r="162">
      <x:c r="A162" s="9" t="str">
        <x:v>M27</x:v>
      </x:c>
      <x:c r="B162" s="9" t="str">
        <x:v>5/3</x:v>
      </x:c>
      <x:c r="C162" s="9" t="str">
        <x:v>Innenstadt</x:v>
      </x:c>
      <x:c r="D162" s="9" t="str">
        <x:v>Rote Londoner Telefonzelle</x:v>
      </x:c>
      <x:c r="E162" s="9" t="str">
        <x:v>21347</x:v>
      </x:c>
      <x:c r="F162" s="9" t="n">
        <x:v>1</x:v>
      </x:c>
      <x:c r="G162" s="9" t="n">
        <x:v>1</x:v>
      </x:c>
      <x:c r="H162" s="9" t="n">
        <x:v>19</x:v>
      </x:c>
      <x:c r="I162" s="9" t="n">
        <x:v>15</x:v>
      </x:c>
      <x:c r="J162" s="9" t="n">
        <x:v>31</x:v>
      </x:c>
      <x:c r="K162" s="43" t="n">
        <x:v>0.0285</x:v>
      </x:c>
      <x:c r="L162" s="9" t="str">
        <x:v>NW</x:v>
      </x:c>
      <x:c r="M162" s="9" t="str"/>
      <x:c r="N162" s="9" t="n">
        <x:v>3</x:v>
      </x:c>
    </x:row>
    <x:row r="163">
      <x:c r="A163" s="9" t="str">
        <x:v>M32</x:v>
      </x:c>
      <x:c r="B163" s="9" t="str">
        <x:v>5/8</x:v>
      </x:c>
      <x:c r="C163" s="9" t="str">
        <x:v>Botanik/Technik</x:v>
      </x:c>
      <x:c r="D163" s="9" t="str">
        <x:v>Disney Magie</x:v>
      </x:c>
      <x:c r="E163" s="9" t="str">
        <x:v>21352</x:v>
      </x:c>
      <x:c r="F163" s="9" t="n">
        <x:v>1</x:v>
      </x:c>
      <x:c r="G163" s="9" t="n">
        <x:v>1</x:v>
      </x:c>
      <x:c r="H163" s="9"/>
      <x:c r="I163" s="9"/>
      <x:c r="J163" s="9"/>
      <x:c r="K163" s="43" t="n">
        <x:v>0.035</x:v>
      </x:c>
      <x:c r="L163" s="9" t="str">
        <x:v>Rand innen</x:v>
      </x:c>
      <x:c r="M163" s="9" t="str"/>
      <x:c r="N163" s="9" t="n">
        <x:v>4</x:v>
      </x:c>
    </x:row>
    <x:row r="164">
      <x:c r="A164" s="9" t="str">
        <x:v>M31</x:v>
      </x:c>
      <x:c r="B164" s="9" t="str">
        <x:v>5/7</x:v>
      </x:c>
      <x:c r="C164" s="9" t="str">
        <x:v>Botanik/Technik</x:v>
      </x:c>
      <x:c r="D164" s="9" t="str">
        <x:v>Der botanische Garten</x:v>
      </x:c>
      <x:c r="E164" s="9" t="str">
        <x:v>21353</x:v>
      </x:c>
      <x:c r="F164" s="9" t="n">
        <x:v>1</x:v>
      </x:c>
      <x:c r="G164" s="9" t="n">
        <x:v>1</x:v>
      </x:c>
      <x:c r="H164" s="9" t="n">
        <x:v>51</x:v>
      </x:c>
      <x:c r="I164" s="9" t="n">
        <x:v>25</x:v>
      </x:c>
      <x:c r="J164" s="9" t="n">
        <x:v>22</x:v>
      </x:c>
      <x:c r="K164" s="43" t="n">
        <x:v>0.1275</x:v>
      </x:c>
      <x:c r="L164" s="9" t="str">
        <x:v>Mitte</x:v>
      </x:c>
      <x:c r="M164" s="9" t="str"/>
      <x:c r="N164" s="9" t="n">
        <x:v>4</x:v>
      </x:c>
    </x:row>
    <x:row r="165">
      <x:c r="A165" s="9" t="str">
        <x:v>M36</x:v>
      </x:c>
      <x:c r="B165" s="9" t="str">
        <x:v>6/4</x:v>
      </x:c>
      <x:c r="C165" s="9" t="str">
        <x:v>Innenstadt</x:v>
      </x:c>
      <x:c r="D165" s="9" t="str">
        <x:v>Die Italienische Riviera</x:v>
      </x:c>
      <x:c r="E165" s="9" t="str">
        <x:v>21359</x:v>
      </x:c>
      <x:c r="F165" s="9" t="n">
        <x:v>1</x:v>
      </x:c>
      <x:c r="G165" s="9" t="n">
        <x:v>1</x:v>
      </x:c>
      <x:c r="H165" s="9" t="n">
        <x:v>34</x:v>
      </x:c>
      <x:c r="I165" s="9" t="n">
        <x:v>31</x:v>
      </x:c>
      <x:c r="J165" s="9" t="n">
        <x:v>23</x:v>
      </x:c>
      <x:c r="K165" s="43" t="n">
        <x:v>0.1054</x:v>
      </x:c>
      <x:c r="L165" s="9" t="str">
        <x:v>NW</x:v>
      </x:c>
      <x:c r="M165" s="9" t="str"/>
      <x:c r="N165" s="9" t="n">
        <x:v>3</x:v>
      </x:c>
    </x:row>
    <x:row r="166">
      <x:c r="A166" s="9" t="str">
        <x:v>M39</x:v>
      </x:c>
      <x:c r="B166" s="9" t="str">
        <x:v>6/7</x:v>
      </x:c>
      <x:c r="C166" s="9" t="str">
        <x:v>Botanik/Technik</x:v>
      </x:c>
      <x:c r="D166" s="9" t="str">
        <x:v>E.T. the Extra-Terrestrial</x:v>
      </x:c>
      <x:c r="E166" s="9" t="str">
        <x:v>21370</x:v>
      </x:c>
      <x:c r="F166" s="9" t="n">
        <x:v>1</x:v>
      </x:c>
      <x:c r="G166" s="9" t="n">
        <x:v>1</x:v>
      </x:c>
      <x:c r="H166" s="9"/>
      <x:c r="I166" s="9"/>
      <x:c r="J166" s="9"/>
      <x:c r="K166" s="43" t="n">
        <x:v>0.035</x:v>
      </x:c>
      <x:c r="L166" s="9" t="str">
        <x:v>Rand außen</x:v>
      </x:c>
      <x:c r="M166" s="9" t="str"/>
      <x:c r="N166" s="9" t="n">
        <x:v>4</x:v>
      </x:c>
    </x:row>
    <x:row r="167">
      <x:c r="A167" s="9" t="str">
        <x:v>M09</x:v>
      </x:c>
      <x:c r="B167" s="9" t="str">
        <x:v>2/1</x:v>
      </x:c>
      <x:c r="C167" s="9" t="str">
        <x:v>Weihnachtsdorf</x:v>
      </x:c>
      <x:c r="D167" s="9" t="str">
        <x:v>Snowman</x:v>
      </x:c>
      <x:c r="E167" s="9" t="str">
        <x:v>30645</x:v>
      </x:c>
      <x:c r="F167" s="9" t="n">
        <x:v>1</x:v>
      </x:c>
      <x:c r="G167" s="9" t="n">
        <x:v>2</x:v>
      </x:c>
      <x:c r="H167" s="9"/>
      <x:c r="I167" s="9"/>
      <x:c r="J167" s="9"/>
      <x:c r="K167" s="43" t="n">
        <x:v>0.04</x:v>
      </x:c>
      <x:c r="L167" s="9" t="str">
        <x:v>Rand außen</x:v>
      </x:c>
      <x:c r="M167" s="9" t="str"/>
      <x:c r="N167" s="9" t="n">
        <x:v>3</x:v>
      </x:c>
    </x:row>
    <x:row r="168">
      <x:c r="A168" s="9" t="str">
        <x:v>M03</x:v>
      </x:c>
      <x:c r="B168" s="9" t="str">
        <x:v>1/3</x:v>
      </x:c>
      <x:c r="C168" s="9" t="str">
        <x:v>Weihnachtsdorf</x:v>
      </x:c>
      <x:c r="D168" s="9" t="str">
        <x:v>Snowman</x:v>
      </x:c>
      <x:c r="E168" s="9" t="str">
        <x:v>30645</x:v>
      </x:c>
      <x:c r="F168" s="9" t="n">
        <x:v>2</x:v>
      </x:c>
      <x:c r="G168" s="9" t="n">
        <x:v>2</x:v>
      </x:c>
      <x:c r="H168" s="9"/>
      <x:c r="I168" s="9"/>
      <x:c r="J168" s="9"/>
      <x:c r="K168" s="43" t="n">
        <x:v>0.04</x:v>
      </x:c>
      <x:c r="L168" s="9" t="str">
        <x:v>NW</x:v>
      </x:c>
      <x:c r="M168" s="9" t="str"/>
      <x:c r="N168" s="9" t="n">
        <x:v>3</x:v>
      </x:c>
    </x:row>
    <x:row r="169">
      <x:c r="A169" s="9" t="str">
        <x:v>M40</x:v>
      </x:c>
      <x:c r="B169" s="9" t="str">
        <x:v>6/8</x:v>
      </x:c>
      <x:c r="C169" s="9" t="str">
        <x:v>Botanik/Technik</x:v>
      </x:c>
      <x:c r="D169" s="9" t="str">
        <x:v>Cute Easter Bunny</x:v>
      </x:c>
      <x:c r="E169" s="9" t="str">
        <x:v>30716</x:v>
      </x:c>
      <x:c r="F169" s="9" t="n">
        <x:v>1</x:v>
      </x:c>
      <x:c r="G169" s="9" t="n">
        <x:v>1</x:v>
      </x:c>
      <x:c r="H169" s="9"/>
      <x:c r="I169" s="9"/>
      <x:c r="J169" s="9"/>
      <x:c r="K169" s="43" t="n">
        <x:v>0.015</x:v>
      </x:c>
      <x:c r="L169" s="9" t="str">
        <x:v>Rand innen</x:v>
      </x:c>
      <x:c r="M169" s="9" t="str"/>
      <x:c r="N169" s="9" t="n">
        <x:v>4</x:v>
      </x:c>
    </x:row>
    <x:row r="170">
      <x:c r="A170" s="9" t="str">
        <x:v>M02</x:v>
      </x:c>
      <x:c r="B170" s="9" t="str">
        <x:v>1/2</x:v>
      </x:c>
      <x:c r="C170" s="9" t="str">
        <x:v>Weihnachtsdorf</x:v>
      </x:c>
      <x:c r="D170" s="9" t="str">
        <x:v>Christmas Tree Stand</x:v>
      </x:c>
      <x:c r="E170" s="9" t="str">
        <x:v>40082</x:v>
      </x:c>
      <x:c r="F170" s="9" t="n">
        <x:v>1</x:v>
      </x:c>
      <x:c r="G170" s="9" t="n">
        <x:v>1</x:v>
      </x:c>
      <x:c r="H170" s="9"/>
      <x:c r="I170" s="9"/>
      <x:c r="J170" s="9"/>
      <x:c r="K170" s="43" t="n">
        <x:v>0.04</x:v>
      </x:c>
      <x:c r="L170" s="9" t="str">
        <x:v>Rand innen</x:v>
      </x:c>
      <x:c r="M170" s="9" t="str"/>
      <x:c r="N170" s="9" t="n">
        <x:v>3</x:v>
      </x:c>
    </x:row>
    <x:row r="171">
      <x:c r="A171" s="9" t="str">
        <x:v>M27</x:v>
      </x:c>
      <x:c r="B171" s="9" t="str">
        <x:v>5/3</x:v>
      </x:c>
      <x:c r="C171" s="9" t="str">
        <x:v>Innenstadt</x:v>
      </x:c>
      <x:c r="D171" s="9" t="str">
        <x:v>LEGO® Londoner Bus</x:v>
      </x:c>
      <x:c r="E171" s="9" t="str">
        <x:v>40220</x:v>
      </x:c>
      <x:c r="F171" s="9" t="n">
        <x:v>1</x:v>
      </x:c>
      <x:c r="G171" s="9" t="n">
        <x:v>1</x:v>
      </x:c>
      <x:c r="H171" s="9"/>
      <x:c r="I171" s="9"/>
      <x:c r="J171" s="9"/>
      <x:c r="K171" s="43" t="n">
        <x:v>0.025</x:v>
      </x:c>
      <x:c r="L171" s="9" t="str">
        <x:v>NE</x:v>
      </x:c>
      <x:c r="M171" s="9" t="str"/>
      <x:c r="N171" s="9" t="n">
        <x:v>3</x:v>
      </x:c>
    </x:row>
    <x:row r="172">
      <x:c r="A172" s="9" t="str">
        <x:v>M11</x:v>
      </x:c>
      <x:c r="B172" s="9" t="str">
        <x:v>2/3</x:v>
      </x:c>
      <x:c r="C172" s="9" t="str">
        <x:v>Weihnachtsdorf</x:v>
      </x:c>
      <x:c r="D172" s="9" t="str">
        <x:v>Schlitten des Weihnachtsmanns</x:v>
      </x:c>
      <x:c r="E172" s="9" t="str">
        <x:v>40499</x:v>
      </x:c>
      <x:c r="F172" s="9" t="n">
        <x:v>1</x:v>
      </x:c>
      <x:c r="G172" s="9" t="n">
        <x:v>1</x:v>
      </x:c>
      <x:c r="H172" s="9"/>
      <x:c r="I172" s="9"/>
      <x:c r="J172" s="9"/>
      <x:c r="K172" s="43" t="n">
        <x:v>0.04</x:v>
      </x:c>
      <x:c r="L172" s="9" t="str">
        <x:v>NW</x:v>
      </x:c>
      <x:c r="M172" s="9" t="str"/>
      <x:c r="N172" s="9" t="n">
        <x:v>3</x:v>
      </x:c>
    </x:row>
    <x:row r="173">
      <x:c r="A173" s="9" t="str">
        <x:v>M34</x:v>
      </x:c>
      <x:c r="B173" s="9" t="str">
        <x:v>6/2</x:v>
      </x:c>
      <x:c r="C173" s="9" t="str">
        <x:v>Innenstadt</x:v>
      </x:c>
      <x:c r="D173" s="9" t="str">
        <x:v>Postkarte aus New York</x:v>
      </x:c>
      <x:c r="E173" s="9" t="str">
        <x:v>40519</x:v>
      </x:c>
      <x:c r="F173" s="9" t="n">
        <x:v>1</x:v>
      </x:c>
      <x:c r="G173" s="9" t="n">
        <x:v>1</x:v>
      </x:c>
      <x:c r="H173" s="9"/>
      <x:c r="I173" s="9"/>
      <x:c r="J173" s="9"/>
      <x:c r="K173" s="43" t="n">
        <x:v>0.015</x:v>
      </x:c>
      <x:c r="L173" s="9" t="str">
        <x:v>Rand außen</x:v>
      </x:c>
      <x:c r="M173" s="9" t="str"/>
      <x:c r="N173" s="9" t="n">
        <x:v>3</x:v>
      </x:c>
    </x:row>
    <x:row r="174">
      <x:c r="A174" s="9" t="str">
        <x:v>M27</x:v>
      </x:c>
      <x:c r="B174" s="9" t="str">
        <x:v>5/3</x:v>
      </x:c>
      <x:c r="C174" s="9" t="str">
        <x:v>Innenstadt</x:v>
      </x:c>
      <x:c r="D174" s="9" t="str">
        <x:v>Postkarte aus London</x:v>
      </x:c>
      <x:c r="E174" s="9" t="str">
        <x:v>40569</x:v>
      </x:c>
      <x:c r="F174" s="9" t="n">
        <x:v>1</x:v>
      </x:c>
      <x:c r="G174" s="9" t="n">
        <x:v>1</x:v>
      </x:c>
      <x:c r="H174" s="9"/>
      <x:c r="I174" s="9"/>
      <x:c r="J174" s="9"/>
      <x:c r="K174" s="43" t="n">
        <x:v>0.015</x:v>
      </x:c>
      <x:c r="L174" s="9" t="str">
        <x:v>SW</x:v>
      </x:c>
      <x:c r="M174" s="9" t="str"/>
      <x:c r="N174" s="9" t="n">
        <x:v>3</x:v>
      </x:c>
    </x:row>
    <x:row r="175">
      <x:c r="A175" s="9" t="str">
        <x:v>M09</x:v>
      </x:c>
      <x:c r="B175" s="9" t="str">
        <x:v>2/1</x:v>
      </x:c>
      <x:c r="C175" s="9" t="str">
        <x:v>Weihnachtsdorf</x:v>
      </x:c>
      <x:c r="D175" s="9" t="str">
        <x:v>Eisbären im Winter</x:v>
      </x:c>
      <x:c r="E175" s="9" t="str">
        <x:v>40571</x:v>
      </x:c>
      <x:c r="F175" s="9" t="n">
        <x:v>1</x:v>
      </x:c>
      <x:c r="G175" s="9" t="n">
        <x:v>1</x:v>
      </x:c>
      <x:c r="H175" s="9"/>
      <x:c r="I175" s="9"/>
      <x:c r="J175" s="9"/>
      <x:c r="K175" s="43" t="n">
        <x:v>0.04</x:v>
      </x:c>
      <x:c r="L175" s="9" t="str">
        <x:v>NW</x:v>
      </x:c>
      <x:c r="M175" s="9" t="str"/>
      <x:c r="N175" s="9" t="n">
        <x:v>3</x:v>
      </x:c>
    </x:row>
    <x:row r="176">
      <x:c r="A176" s="9" t="str">
        <x:v>M01</x:v>
      </x:c>
      <x:c r="B176" s="9" t="str">
        <x:v>1/1</x:v>
      </x:c>
      <x:c r="C176" s="9" t="str">
        <x:v>Weihnachtsdorf</x:v>
      </x:c>
      <x:c r="D176" s="9" t="str">
        <x:v>Weihnachtsbaum</x:v>
      </x:c>
      <x:c r="E176" s="9" t="str">
        <x:v>40573</x:v>
      </x:c>
      <x:c r="F176" s="9" t="n">
        <x:v>1</x:v>
      </x:c>
      <x:c r="G176" s="9" t="n">
        <x:v>1</x:v>
      </x:c>
      <x:c r="H176" s="9"/>
      <x:c r="I176" s="9"/>
      <x:c r="J176" s="9"/>
      <x:c r="K176" s="43" t="n">
        <x:v>0.04</x:v>
      </x:c>
      <x:c r="L176" s="9" t="str">
        <x:v>NE</x:v>
      </x:c>
      <x:c r="M176" s="9" t="str"/>
      <x:c r="N176" s="9" t="n">
        <x:v>3</x:v>
      </x:c>
    </x:row>
    <x:row r="177">
      <x:c r="A177" s="9" t="str">
        <x:v>M40</x:v>
      </x:c>
      <x:c r="B177" s="9" t="str">
        <x:v>6/8</x:v>
      </x:c>
      <x:c r="C177" s="9" t="str">
        <x:v>Botanik/Technik</x:v>
      </x:c>
      <x:c r="D177" s="9" t="str">
        <x:v>Blacktron-Raumschiff</x:v>
      </x:c>
      <x:c r="E177" s="9" t="str">
        <x:v>40580</x:v>
      </x:c>
      <x:c r="F177" s="9" t="n">
        <x:v>1</x:v>
      </x:c>
      <x:c r="G177" s="9" t="n">
        <x:v>1</x:v>
      </x:c>
      <x:c r="H177" s="9"/>
      <x:c r="I177" s="9"/>
      <x:c r="J177" s="9"/>
      <x:c r="K177" s="43" t="n">
        <x:v>0.035</x:v>
      </x:c>
      <x:c r="L177" s="9" t="str">
        <x:v>Rand außen</x:v>
      </x:c>
      <x:c r="M177" s="9" t="str"/>
      <x:c r="N177" s="9" t="n">
        <x:v>4</x:v>
      </x:c>
    </x:row>
    <x:row r="178">
      <x:c r="A178" s="9" t="str">
        <x:v>M34</x:v>
      </x:c>
      <x:c r="B178" s="9" t="str">
        <x:v>6/2</x:v>
      </x:c>
      <x:c r="C178" s="9" t="str">
        <x:v>Innenstadt</x:v>
      </x:c>
      <x:c r="D178" s="9" t="str">
        <x:v>Umzugswagen</x:v>
      </x:c>
      <x:c r="E178" s="9" t="str">
        <x:v>40586</x:v>
      </x:c>
      <x:c r="F178" s="9" t="n">
        <x:v>1</x:v>
      </x:c>
      <x:c r="G178" s="9" t="n">
        <x:v>1</x:v>
      </x:c>
      <x:c r="H178" s="9"/>
      <x:c r="I178" s="9"/>
      <x:c r="J178" s="9"/>
      <x:c r="K178" s="43" t="n">
        <x:v>0.025</x:v>
      </x:c>
      <x:c r="L178" s="9" t="str">
        <x:v>NW</x:v>
      </x:c>
      <x:c r="M178" s="9" t="str"/>
      <x:c r="N178" s="9" t="n">
        <x:v>3</x:v>
      </x:c>
    </x:row>
    <x:row r="179">
      <x:c r="A179" s="9" t="str">
        <x:v>M03</x:v>
      </x:c>
      <x:c r="B179" s="9" t="str">
        <x:v>1/3</x:v>
      </x:c>
      <x:c r="C179" s="9" t="str">
        <x:v>Weihnachtsdorf</x:v>
      </x:c>
      <x:c r="D179" s="9" t="str">
        <x:v>Weihnachtskutsche</x:v>
      </x:c>
      <x:c r="E179" s="9" t="str">
        <x:v>40603</x:v>
      </x:c>
      <x:c r="F179" s="9" t="n">
        <x:v>1</x:v>
      </x:c>
      <x:c r="G179" s="9" t="n">
        <x:v>1</x:v>
      </x:c>
      <x:c r="H179" s="9"/>
      <x:c r="I179" s="9"/>
      <x:c r="J179" s="9"/>
      <x:c r="K179" s="43" t="n">
        <x:v>0.04</x:v>
      </x:c>
      <x:c r="L179" s="9" t="str">
        <x:v>NE</x:v>
      </x:c>
      <x:c r="M179" s="9" t="str"/>
      <x:c r="N179" s="9" t="n">
        <x:v>3</x:v>
      </x:c>
    </x:row>
    <x:row r="180">
      <x:c r="A180" s="9" t="str">
        <x:v>M04</x:v>
      </x:c>
      <x:c r="B180" s="9" t="str">
        <x:v>1/4</x:v>
      </x:c>
      <x:c r="C180" s="9" t="str">
        <x:v>Weihnachtsdorf</x:v>
      </x:c>
      <x:c r="D180" s="9" t="str">
        <x:v>Christbaumkugel-Set</x:v>
      </x:c>
      <x:c r="E180" s="9" t="str">
        <x:v>40604</x:v>
      </x:c>
      <x:c r="F180" s="9" t="n">
        <x:v>1</x:v>
      </x:c>
      <x:c r="G180" s="9" t="n">
        <x:v>1</x:v>
      </x:c>
      <x:c r="H180" s="9"/>
      <x:c r="I180" s="9"/>
      <x:c r="J180" s="9"/>
      <x:c r="K180" s="43" t="n">
        <x:v>0.04</x:v>
      </x:c>
      <x:c r="L180" s="9" t="str">
        <x:v>NW</x:v>
      </x:c>
      <x:c r="M180" s="9" t="str"/>
      <x:c r="N180" s="9" t="n">
        <x:v>3</x:v>
      </x:c>
    </x:row>
    <x:row r="181">
      <x:c r="A181" s="9" t="str">
        <x:v>M32</x:v>
      </x:c>
      <x:c r="B181" s="9" t="str">
        <x:v>5/8</x:v>
      </x:c>
      <x:c r="C181" s="9" t="str">
        <x:v>Botanik/Technik</x:v>
      </x:c>
      <x:c r="D181" s="9" t="str">
        <x:v>Mondneujahr — VIP-Erganzungsset</x:v>
      </x:c>
      <x:c r="E181" s="9" t="str">
        <x:v>40605</x:v>
      </x:c>
      <x:c r="F181" s="9" t="n">
        <x:v>1</x:v>
      </x:c>
      <x:c r="G181" s="9" t="n">
        <x:v>1</x:v>
      </x:c>
      <x:c r="H181" s="9"/>
      <x:c r="I181" s="9"/>
      <x:c r="J181" s="9"/>
      <x:c r="K181" s="43" t="n">
        <x:v>0.015</x:v>
      </x:c>
      <x:c r="L181" s="9" t="str">
        <x:v>Rand außen</x:v>
      </x:c>
      <x:c r="M181" s="9" t="str"/>
      <x:c r="N181" s="9" t="n">
        <x:v>4</x:v>
      </x:c>
    </x:row>
    <x:row r="182">
      <x:c r="A182" s="9" t="str">
        <x:v>M10</x:v>
      </x:c>
      <x:c r="B182" s="9" t="str">
        <x:v>2/2</x:v>
      </x:c>
      <x:c r="C182" s="9" t="str">
        <x:v>Weihnachtsdorf</x:v>
      </x:c>
      <x:c r="D182" s="9" t="str">
        <x:v>LEGO® Nussknacker</x:v>
      </x:c>
      <x:c r="E182" s="9" t="str">
        <x:v>40640</x:v>
      </x:c>
      <x:c r="F182" s="9" t="n">
        <x:v>1</x:v>
      </x:c>
      <x:c r="G182" s="9" t="n">
        <x:v>1</x:v>
      </x:c>
      <x:c r="H182" s="9"/>
      <x:c r="I182" s="9"/>
      <x:c r="J182" s="9"/>
      <x:c r="K182" s="43" t="n">
        <x:v>0.04</x:v>
      </x:c>
      <x:c r="L182" s="9" t="str">
        <x:v>NE</x:v>
      </x:c>
      <x:c r="M182" s="9" t="str"/>
      <x:c r="N182" s="9" t="n">
        <x:v>3</x:v>
      </x:c>
    </x:row>
    <x:row r="183">
      <x:c r="A183" s="9" t="str">
        <x:v>M39</x:v>
      </x:c>
      <x:c r="B183" s="9" t="str">
        <x:v>6/7</x:v>
      </x:c>
      <x:c r="C183" s="9" t="str">
        <x:v>Botanik/Technik</x:v>
      </x:c>
      <x:c r="D183" s="9" t="str">
        <x:v>Love-Geschenkbox</x:v>
      </x:c>
      <x:c r="E183" s="9" t="str">
        <x:v>40679</x:v>
      </x:c>
      <x:c r="F183" s="9" t="n">
        <x:v>1</x:v>
      </x:c>
      <x:c r="G183" s="9" t="n">
        <x:v>1</x:v>
      </x:c>
      <x:c r="H183" s="9"/>
      <x:c r="I183" s="9"/>
      <x:c r="J183" s="9"/>
      <x:c r="K183" s="43" t="n">
        <x:v>0.015</x:v>
      </x:c>
      <x:c r="L183" s="9" t="str">
        <x:v>NW</x:v>
      </x:c>
      <x:c r="M183" s="9" t="str"/>
      <x:c r="N183" s="9" t="n">
        <x:v>4</x:v>
      </x:c>
    </x:row>
    <x:row r="184">
      <x:c r="A184" s="9" t="str">
        <x:v>M32</x:v>
      </x:c>
      <x:c r="B184" s="9" t="str">
        <x:v>5/8</x:v>
      </x:c>
      <x:c r="C184" s="9" t="str">
        <x:v>Botanik/Technik</x:v>
      </x:c>
      <x:c r="D184" s="9" t="str">
        <x:v>Blumenladen</x:v>
      </x:c>
      <x:c r="E184" s="9" t="str">
        <x:v>40680</x:v>
      </x:c>
      <x:c r="F184" s="9" t="n">
        <x:v>1</x:v>
      </x:c>
      <x:c r="G184" s="9" t="n">
        <x:v>1</x:v>
      </x:c>
      <x:c r="H184" s="9"/>
      <x:c r="I184" s="9"/>
      <x:c r="J184" s="9"/>
      <x:c r="K184" s="43" t="n">
        <x:v>0.015</x:v>
      </x:c>
      <x:c r="L184" s="9" t="str">
        <x:v>NW</x:v>
      </x:c>
      <x:c r="M184" s="9" t="str"/>
      <x:c r="N184" s="9" t="n">
        <x:v>4</x:v>
      </x:c>
    </x:row>
    <x:row r="185">
      <x:c r="A185" s="9" t="str">
        <x:v>M39</x:v>
      </x:c>
      <x:c r="B185" s="9" t="str">
        <x:v>6/7</x:v>
      </x:c>
      <x:c r="C185" s="9" t="str">
        <x:v>Botanik/Technik</x:v>
      </x:c>
      <x:c r="D185" s="9" t="str">
        <x:v>Feuerwerks-Set</x:v>
      </x:c>
      <x:c r="E185" s="9" t="str">
        <x:v>40689</x:v>
      </x:c>
      <x:c r="F185" s="9" t="n">
        <x:v>1</x:v>
      </x:c>
      <x:c r="G185" s="9" t="n">
        <x:v>1</x:v>
      </x:c>
      <x:c r="H185" s="9"/>
      <x:c r="I185" s="9"/>
      <x:c r="J185" s="9"/>
      <x:c r="K185" s="43" t="n">
        <x:v>0.015</x:v>
      </x:c>
      <x:c r="L185" s="9" t="str">
        <x:v>NE</x:v>
      </x:c>
      <x:c r="M185" s="9" t="str"/>
      <x:c r="N185" s="9" t="n">
        <x:v>4</x:v>
      </x:c>
    </x:row>
    <x:row r="186">
      <x:c r="A186" s="9" t="str">
        <x:v>M02</x:v>
      </x:c>
      <x:c r="B186" s="9" t="str">
        <x:v>1/2</x:v>
      </x:c>
      <x:c r="C186" s="9" t="str">
        <x:v>Weihnachtsdorf</x:v>
      </x:c>
      <x:c r="D186" s="9" t="str">
        <x:v>Süßwarenladen</x:v>
      </x:c>
      <x:c r="E186" s="9" t="str">
        <x:v>40692</x:v>
      </x:c>
      <x:c r="F186" s="9" t="n">
        <x:v>1</x:v>
      </x:c>
      <x:c r="G186" s="9" t="n">
        <x:v>1</x:v>
      </x:c>
      <x:c r="H186" s="9"/>
      <x:c r="I186" s="9"/>
      <x:c r="J186" s="9"/>
      <x:c r="K186" s="43" t="n">
        <x:v>0.04</x:v>
      </x:c>
      <x:c r="L186" s="9" t="str">
        <x:v>Rand außen</x:v>
      </x:c>
      <x:c r="M186" s="9" t="str"/>
      <x:c r="N186" s="9" t="n">
        <x:v>3</x:v>
      </x:c>
    </x:row>
    <x:row r="187">
      <x:c r="A187" s="9" t="str">
        <x:v>M40</x:v>
      </x:c>
      <x:c r="B187" s="9" t="str">
        <x:v>6/8</x:v>
      </x:c>
      <x:c r="C187" s="9" t="str">
        <x:v>Botanik/Technik</x:v>
      </x:c>
      <x:c r="D187" s="9" t="str">
        <x:v>Bücher sind meine Leidenschaft</x:v>
      </x:c>
      <x:c r="E187" s="9" t="str">
        <x:v>40698</x:v>
      </x:c>
      <x:c r="F187" s="9" t="n">
        <x:v>1</x:v>
      </x:c>
      <x:c r="G187" s="9" t="n">
        <x:v>1</x:v>
      </x:c>
      <x:c r="H187" s="9"/>
      <x:c r="I187" s="9"/>
      <x:c r="J187" s="9"/>
      <x:c r="K187" s="43" t="n">
        <x:v>0.015</x:v>
      </x:c>
      <x:c r="L187" s="9" t="str">
        <x:v>NW</x:v>
      </x:c>
      <x:c r="M187" s="9" t="str"/>
      <x:c r="N187" s="9" t="n">
        <x:v>4</x:v>
      </x:c>
    </x:row>
    <x:row r="188">
      <x:c r="A188" s="9" t="str">
        <x:v>M32</x:v>
      </x:c>
      <x:c r="B188" s="9" t="str">
        <x:v>5/8</x:v>
      </x:c>
      <x:c r="C188" s="9" t="str">
        <x:v>Botanik/Technik</x:v>
      </x:c>
      <x:c r="D188" s="9" t="str">
        <x:v>Retro-Plattenspieler</x:v>
      </x:c>
      <x:c r="E188" s="9" t="str">
        <x:v>40699</x:v>
      </x:c>
      <x:c r="F188" s="9" t="n">
        <x:v>1</x:v>
      </x:c>
      <x:c r="G188" s="9" t="n">
        <x:v>1</x:v>
      </x:c>
      <x:c r="H188" s="9"/>
      <x:c r="I188" s="9"/>
      <x:c r="J188" s="9"/>
      <x:c r="K188" s="43" t="n">
        <x:v>0.015</x:v>
      </x:c>
      <x:c r="L188" s="9" t="str">
        <x:v>NE</x:v>
      </x:c>
      <x:c r="M188" s="9" t="str"/>
      <x:c r="N188" s="9" t="n">
        <x:v>4</x:v>
      </x:c>
    </x:row>
    <x:row r="189">
      <x:c r="A189" s="9" t="str">
        <x:v>M11</x:v>
      </x:c>
      <x:c r="B189" s="9" t="str">
        <x:v>2/3</x:v>
      </x:c>
      <x:c r="C189" s="9" t="str">
        <x:v>Weihnachtsdorf</x:v>
      </x:c>
      <x:c r="D189" s="9" t="str">
        <x:v>Winterlicher Weihnachtszug</x:v>
      </x:c>
      <x:c r="E189" s="9" t="str">
        <x:v>40700</x:v>
      </x:c>
      <x:c r="F189" s="9" t="n">
        <x:v>1</x:v>
      </x:c>
      <x:c r="G189" s="9" t="n">
        <x:v>1</x:v>
      </x:c>
      <x:c r="H189" s="9"/>
      <x:c r="I189" s="9"/>
      <x:c r="J189" s="9"/>
      <x:c r="K189" s="43" t="n">
        <x:v>0.04</x:v>
      </x:c>
      <x:c r="L189" s="9" t="str">
        <x:v>NE</x:v>
      </x:c>
      <x:c r="M189" s="9" t="str"/>
      <x:c r="N189" s="9" t="n">
        <x:v>3</x:v>
      </x:c>
    </x:row>
    <x:row r="190">
      <x:c r="A190" s="9" t="str">
        <x:v>M39</x:v>
      </x:c>
      <x:c r="B190" s="9" t="str">
        <x:v>6/7</x:v>
      </x:c>
      <x:c r="C190" s="9" t="str">
        <x:v>Botanik/Technik</x:v>
      </x:c>
      <x:c r="D190" s="9" t="str">
        <x:v>Mikro-Startrampe</x:v>
      </x:c>
      <x:c r="E190" s="9" t="str">
        <x:v>40712</x:v>
      </x:c>
      <x:c r="F190" s="9" t="n">
        <x:v>1</x:v>
      </x:c>
      <x:c r="G190" s="9" t="n">
        <x:v>1</x:v>
      </x:c>
      <x:c r="H190" s="9"/>
      <x:c r="I190" s="9"/>
      <x:c r="J190" s="9"/>
      <x:c r="K190" s="43" t="n">
        <x:v>0.035</x:v>
      </x:c>
      <x:c r="L190" s="9" t="str">
        <x:v>SW</x:v>
      </x:c>
      <x:c r="M190" s="9" t="str"/>
      <x:c r="N190" s="9" t="n">
        <x:v>4</x:v>
      </x:c>
    </x:row>
    <x:row r="191">
      <x:c r="A191" s="9" t="str">
        <x:v>M09</x:v>
      </x:c>
      <x:c r="B191" s="9" t="str">
        <x:v>2/1</x:v>
      </x:c>
      <x:c r="C191" s="9" t="str">
        <x:v>Weihnachtsdorf</x:v>
      </x:c>
      <x:c r="D191" s="9" t="str">
        <x:v>Lieferwagen des Weihnachtsmanns</x:v>
      </x:c>
      <x:c r="E191" s="9" t="str">
        <x:v>40746</x:v>
      </x:c>
      <x:c r="F191" s="9" t="n">
        <x:v>1</x:v>
      </x:c>
      <x:c r="G191" s="9" t="n">
        <x:v>1</x:v>
      </x:c>
      <x:c r="H191" s="9"/>
      <x:c r="I191" s="9"/>
      <x:c r="J191" s="9"/>
      <x:c r="K191" s="43" t="n">
        <x:v>0.04</x:v>
      </x:c>
      <x:c r="L191" s="9" t="str">
        <x:v>NE</x:v>
      </x:c>
      <x:c r="M191" s="9" t="str"/>
      <x:c r="N191" s="9" t="n">
        <x:v>3</x:v>
      </x:c>
    </x:row>
    <x:row r="192">
      <x:c r="A192" s="9" t="str">
        <x:v>M40</x:v>
      </x:c>
      <x:c r="B192" s="9" t="str">
        <x:v>6/8</x:v>
      </x:c>
      <x:c r="C192" s="9" t="str">
        <x:v>Botanik/Technik</x:v>
      </x:c>
      <x:c r="D192" s="9" t="str">
        <x:v>Children's Day Teddy Bear</x:v>
      </x:c>
      <x:c r="E192" s="9" t="str">
        <x:v>40763</x:v>
      </x:c>
      <x:c r="F192" s="9" t="n">
        <x:v>1</x:v>
      </x:c>
      <x:c r="G192" s="9" t="n">
        <x:v>1</x:v>
      </x:c>
      <x:c r="H192" s="9"/>
      <x:c r="I192" s="9"/>
      <x:c r="J192" s="9"/>
      <x:c r="K192" s="43" t="n">
        <x:v>0.015</x:v>
      </x:c>
      <x:c r="L192" s="9" t="str">
        <x:v>NE</x:v>
      </x:c>
      <x:c r="M192" s="9" t="str"/>
      <x:c r="N192" s="9" t="n">
        <x:v>4</x:v>
      </x:c>
    </x:row>
    <x:row r="193">
      <x:c r="A193" s="9" t="str">
        <x:v>M32</x:v>
      </x:c>
      <x:c r="B193" s="9" t="str">
        <x:v>5/8</x:v>
      </x:c>
      <x:c r="C193" s="9" t="str">
        <x:v>Botanik/Technik</x:v>
      </x:c>
      <x:c r="D193" s="9" t="str">
        <x:v>Hommage an die Bucher von Jane A...</x:v>
      </x:c>
      <x:c r="E193" s="9" t="str">
        <x:v>40766</x:v>
      </x:c>
      <x:c r="F193" s="9" t="n">
        <x:v>1</x:v>
      </x:c>
      <x:c r="G193" s="9" t="n">
        <x:v>1</x:v>
      </x:c>
      <x:c r="H193" s="9"/>
      <x:c r="I193" s="9"/>
      <x:c r="J193" s="9"/>
      <x:c r="K193" s="43" t="n">
        <x:v>0.015</x:v>
      </x:c>
      <x:c r="L193" s="9" t="str">
        <x:v>SW</x:v>
      </x:c>
      <x:c r="M193" s="9" t="str"/>
      <x:c r="N193" s="9" t="n">
        <x:v>4</x:v>
      </x:c>
    </x:row>
    <x:row r="194">
      <x:c r="A194" s="9" t="str">
        <x:v>M40</x:v>
      </x:c>
      <x:c r="B194" s="9" t="str">
        <x:v>6/8</x:v>
      </x:c>
      <x:c r="C194" s="9" t="str">
        <x:v>Botanik/Technik</x:v>
      </x:c>
      <x:c r="D194" s="9" t="str">
        <x:v>Großer Baby-Astronaut</x:v>
      </x:c>
      <x:c r="E194" s="9" t="str">
        <x:v>40767</x:v>
      </x:c>
      <x:c r="F194" s="9" t="n">
        <x:v>1</x:v>
      </x:c>
      <x:c r="G194" s="9" t="n">
        <x:v>1</x:v>
      </x:c>
      <x:c r="H194" s="9"/>
      <x:c r="I194" s="9"/>
      <x:c r="J194" s="9"/>
      <x:c r="K194" s="43" t="n">
        <x:v>0.035</x:v>
      </x:c>
      <x:c r="L194" s="9" t="str">
        <x:v>SW</x:v>
      </x:c>
      <x:c r="M194" s="9" t="str"/>
      <x:c r="N194" s="9" t="n">
        <x:v>4</x:v>
      </x:c>
    </x:row>
    <x:row r="195">
      <x:c r="A195" s="9" t="str">
        <x:v>M32</x:v>
      </x:c>
      <x:c r="B195" s="9" t="str">
        <x:v>5/8</x:v>
      </x:c>
      <x:c r="C195" s="9" t="str">
        <x:v>Botanik/Technik</x:v>
      </x:c>
      <x:c r="D195" s="9" t="str">
        <x:v>Regenwald-Diorama</x:v>
      </x:c>
      <x:c r="E195" s="9" t="str">
        <x:v>40782</x:v>
      </x:c>
      <x:c r="F195" s="9" t="n">
        <x:v>1</x:v>
      </x:c>
      <x:c r="G195" s="9" t="n">
        <x:v>1</x:v>
      </x:c>
      <x:c r="H195" s="9"/>
      <x:c r="I195" s="9"/>
      <x:c r="J195" s="9"/>
      <x:c r="K195" s="43" t="n">
        <x:v>0.035</x:v>
      </x:c>
      <x:c r="L195" s="9" t="str">
        <x:v>SE</x:v>
      </x:c>
      <x:c r="M195" s="9" t="str"/>
      <x:c r="N195" s="9" t="n">
        <x:v>4</x:v>
      </x:c>
    </x:row>
    <x:row r="196">
      <x:c r="A196" s="9" t="str">
        <x:v>M20</x:v>
      </x:c>
      <x:c r="B196" s="9" t="str">
        <x:v>3/8</x:v>
      </x:c>
      <x:c r="C196" s="9" t="str">
        <x:v>Disney/Springfield</x:v>
      </x:c>
      <x:c r="D196" s="9" t="str">
        <x:v>FIFA World Cup Official Trophy</x:v>
      </x:c>
      <x:c r="E196" s="9" t="str">
        <x:v>43020</x:v>
      </x:c>
      <x:c r="F196" s="9" t="n">
        <x:v>1</x:v>
      </x:c>
      <x:c r="G196" s="9" t="n">
        <x:v>1</x:v>
      </x:c>
      <x:c r="H196" s="9"/>
      <x:c r="I196" s="9"/>
      <x:c r="J196" s="9"/>
      <x:c r="K196" s="43" t="n">
        <x:v>0.04</x:v>
      </x:c>
      <x:c r="L196" s="9" t="str">
        <x:v>Mitte</x:v>
      </x:c>
      <x:c r="M196" s="9" t="str"/>
      <x:c r="N196" s="9" t="n">
        <x:v>4</x:v>
      </x:c>
    </x:row>
    <x:row r="197">
      <x:c r="A197" s="9" t="str">
        <x:v>M23</x:v>
      </x:c>
      <x:c r="B197" s="9" t="str">
        <x:v>4/7</x:v>
      </x:c>
      <x:c r="C197" s="9" t="str">
        <x:v>Disney/Springfield</x:v>
      </x:c>
      <x:c r="D197" s="9" t="str">
        <x:v>Micky Maus und Minnie Maus</x:v>
      </x:c>
      <x:c r="E197" s="9" t="str">
        <x:v>43179</x:v>
      </x:c>
      <x:c r="F197" s="9" t="n">
        <x:v>1</x:v>
      </x:c>
      <x:c r="G197" s="9" t="n">
        <x:v>1</x:v>
      </x:c>
      <x:c r="H197" s="9"/>
      <x:c r="I197" s="9"/>
      <x:c r="J197" s="9"/>
      <x:c r="K197" s="43" t="n">
        <x:v>0.04</x:v>
      </x:c>
      <x:c r="L197" s="9" t="str">
        <x:v>SE</x:v>
      </x:c>
      <x:c r="M197" s="9" t="str"/>
      <x:c r="N197" s="9" t="n">
        <x:v>4</x:v>
      </x:c>
    </x:row>
    <x:row r="198">
      <x:c r="A198" s="9" t="str">
        <x:v>M24</x:v>
      </x:c>
      <x:c r="B198" s="9" t="str">
        <x:v>4/8</x:v>
      </x:c>
      <x:c r="C198" s="9" t="str">
        <x:v>Disney/Springfield</x:v>
      </x:c>
      <x:c r="D198" s="9" t="str">
        <x:v>Disney Geburtstagszug</x:v>
      </x:c>
      <x:c r="E198" s="9" t="str">
        <x:v>43212</x:v>
      </x:c>
      <x:c r="F198" s="9" t="n">
        <x:v>1</x:v>
      </x:c>
      <x:c r="G198" s="9" t="n">
        <x:v>1</x:v>
      </x:c>
      <x:c r="H198" s="9"/>
      <x:c r="I198" s="9"/>
      <x:c r="J198" s="9"/>
      <x:c r="K198" s="43" t="n">
        <x:v>0.04</x:v>
      </x:c>
      <x:c r="L198" s="9" t="str">
        <x:v>SE</x:v>
      </x:c>
      <x:c r="M198" s="9" t="str"/>
      <x:c r="N198" s="9" t="n">
        <x:v>4</x:v>
      </x:c>
    </x:row>
    <x:row r="199">
      <x:c r="A199" s="9" t="str">
        <x:v>M19</x:v>
      </x:c>
      <x:c r="B199" s="9" t="str">
        <x:v>3/7</x:v>
      </x:c>
      <x:c r="C199" s="9" t="str">
        <x:v>Disney/Springfield</x:v>
      </x:c>
      <x:c r="D199" s="9" t="str">
        <x:v>Kamera — Hommage an Walt Disney</x:v>
      </x:c>
      <x:c r="E199" s="9" t="str">
        <x:v>43230</x:v>
      </x:c>
      <x:c r="F199" s="9" t="n">
        <x:v>1</x:v>
      </x:c>
      <x:c r="G199" s="9" t="n">
        <x:v>1</x:v>
      </x:c>
      <x:c r="H199" s="9"/>
      <x:c r="I199" s="9"/>
      <x:c r="J199" s="9"/>
      <x:c r="K199" s="43" t="n">
        <x:v>0.04</x:v>
      </x:c>
      <x:c r="L199" s="9" t="str">
        <x:v>SE</x:v>
      </x:c>
      <x:c r="M199" s="9" t="str"/>
      <x:c r="N199" s="9" t="n">
        <x:v>4</x:v>
      </x:c>
    </x:row>
    <x:row r="200">
      <x:c r="A200" s="9" t="str">
        <x:v>M20</x:v>
      </x:c>
      <x:c r="B200" s="9" t="str">
        <x:v>3/8</x:v>
      </x:c>
      <x:c r="C200" s="9" t="str">
        <x:v>Disney/Springfield</x:v>
      </x:c>
      <x:c r="D200" s="9" t="str">
        <x:v>Die Hutte von Schneewittchen und d...</x:v>
      </x:c>
      <x:c r="E200" s="9" t="str">
        <x:v>43242</x:v>
      </x:c>
      <x:c r="F200" s="9" t="n">
        <x:v>1</x:v>
      </x:c>
      <x:c r="G200" s="9" t="n">
        <x:v>1</x:v>
      </x:c>
      <x:c r="H200" s="9"/>
      <x:c r="I200" s="9"/>
      <x:c r="J200" s="9"/>
      <x:c r="K200" s="43" t="n">
        <x:v>0.04</x:v>
      </x:c>
      <x:c r="L200" s="9" t="str">
        <x:v>Rand innen</x:v>
      </x:c>
      <x:c r="M200" s="9" t="str"/>
      <x:c r="N200" s="9" t="n">
        <x:v>4</x:v>
      </x:c>
    </x:row>
    <x:row r="201">
      <x:c r="A201" s="9" t="str">
        <x:v>M23</x:v>
      </x:c>
      <x:c r="B201" s="9" t="str">
        <x:v>4/7</x:v>
      </x:c>
      <x:c r="C201" s="9" t="str">
        <x:v>Disney/Springfield</x:v>
      </x:c>
      <x:c r="D201" s="9" t="str">
        <x:v>Simba, der junge König der Löwen</x:v>
      </x:c>
      <x:c r="E201" s="9" t="str">
        <x:v>43247</x:v>
      </x:c>
      <x:c r="F201" s="9" t="n">
        <x:v>1</x:v>
      </x:c>
      <x:c r="G201" s="9" t="n">
        <x:v>1</x:v>
      </x:c>
      <x:c r="H201" s="9"/>
      <x:c r="I201" s="9"/>
      <x:c r="J201" s="9"/>
      <x:c r="K201" s="43" t="n">
        <x:v>0.04</x:v>
      </x:c>
      <x:c r="L201" s="9" t="str">
        <x:v>Mitte</x:v>
      </x:c>
      <x:c r="M201" s="9" t="str"/>
      <x:c r="N201" s="9" t="n">
        <x:v>4</x:v>
      </x:c>
    </x:row>
    <x:row r="202">
      <x:c r="A202" s="9" t="str">
        <x:v>M24</x:v>
      </x:c>
      <x:c r="B202" s="9" t="str">
        <x:v>4/8</x:v>
      </x:c>
      <x:c r="C202" s="9" t="str">
        <x:v>Disney/Springfield</x:v>
      </x:c>
      <x:c r="D202" s="9" t="str">
        <x:v>Welpe aus 101 Dalmatiner</x:v>
      </x:c>
      <x:c r="E202" s="9" t="str">
        <x:v>43269</x:v>
      </x:c>
      <x:c r="F202" s="9" t="n">
        <x:v>1</x:v>
      </x:c>
      <x:c r="G202" s="9" t="n">
        <x:v>1</x:v>
      </x:c>
      <x:c r="H202" s="9"/>
      <x:c r="I202" s="9"/>
      <x:c r="J202" s="9"/>
      <x:c r="K202" s="43" t="n">
        <x:v>0.04</x:v>
      </x:c>
      <x:c r="L202" s="9" t="str">
        <x:v>Mitte</x:v>
      </x:c>
      <x:c r="M202" s="9" t="str"/>
      <x:c r="N202" s="9" t="n">
        <x:v>4</x:v>
      </x:c>
    </x:row>
    <x:row r="203">
      <x:c r="A203" s="9" t="str">
        <x:v>M19</x:v>
      </x:c>
      <x:c r="B203" s="9" t="str">
        <x:v>3/7</x:v>
      </x:c>
      <x:c r="C203" s="9" t="str">
        <x:v>Disney/Springfield</x:v>
      </x:c>
      <x:c r="D203" s="9" t="str">
        <x:v>Main Street, U.S.A.</x:v>
      </x:c>
      <x:c r="E203" s="9" t="str">
        <x:v>43302</x:v>
      </x:c>
      <x:c r="F203" s="9" t="n">
        <x:v>1</x:v>
      </x:c>
      <x:c r="G203" s="9" t="n">
        <x:v>1</x:v>
      </x:c>
      <x:c r="H203" s="9" t="n">
        <x:v>78</x:v>
      </x:c>
      <x:c r="I203" s="9" t="n">
        <x:v>16</x:v>
      </x:c>
      <x:c r="J203" s="9" t="n">
        <x:v>28</x:v>
      </x:c>
      <x:c r="K203" s="43" t="n">
        <x:v>0.1248</x:v>
      </x:c>
      <x:c r="L203" s="9" t="str">
        <x:v>ganze Breite</x:v>
      </x:c>
      <x:c r="M203" s="9" t="str">
        <x:v>entlang Modulkante platzieren</x:v>
      </x:c>
      <x:c r="N203" s="9" t="n">
        <x:v>4</x:v>
      </x:c>
    </x:row>
    <x:row r="204">
      <x:c r="A204" s="9" t="str">
        <x:v>M12</x:v>
      </x:c>
      <x:c r="B204" s="9" t="str">
        <x:v>2/4</x:v>
      </x:c>
      <x:c r="C204" s="9" t="str">
        <x:v>Bahn</x:v>
      </x:c>
      <x:c r="D204" s="9" t="str">
        <x:v>Hochgeschwindigkeitszug</x:v>
      </x:c>
      <x:c r="E204" s="9" t="str">
        <x:v>60051</x:v>
      </x:c>
      <x:c r="F204" s="9" t="n">
        <x:v>1</x:v>
      </x:c>
      <x:c r="G204" s="9" t="n">
        <x:v>1</x:v>
      </x:c>
      <x:c r="H204" s="9"/>
      <x:c r="I204" s="9"/>
      <x:c r="J204" s="9"/>
      <x:c r="K204" s="43" t="n">
        <x:v>0.035</x:v>
      </x:c>
      <x:c r="L204" s="9" t="str">
        <x:v>Rand außen</x:v>
      </x:c>
      <x:c r="M204" s="9" t="str"/>
      <x:c r="N204" s="9" t="n">
        <x:v>2</x:v>
      </x:c>
    </x:row>
    <x:row r="205">
      <x:c r="A205" s="9" t="str">
        <x:v>M04</x:v>
      </x:c>
      <x:c r="B205" s="9" t="str">
        <x:v>1/4</x:v>
      </x:c>
      <x:c r="C205" s="9" t="str">
        <x:v>Weihnachtsdorf</x:v>
      </x:c>
      <x:c r="D205" s="9" t="str">
        <x:v>Schienen</x:v>
      </x:c>
      <x:c r="E205" s="9" t="str">
        <x:v>60205</x:v>
      </x:c>
      <x:c r="F205" s="9" t="n">
        <x:v>1</x:v>
      </x:c>
      <x:c r="G205" s="9" t="n">
        <x:v>1</x:v>
      </x:c>
      <x:c r="H205" s="9"/>
      <x:c r="I205" s="9"/>
      <x:c r="J205" s="9"/>
      <x:c r="K205" s="43" t="n">
        <x:v>0.035</x:v>
      </x:c>
      <x:c r="L205" s="9" t="str">
        <x:v>NE</x:v>
      </x:c>
      <x:c r="M205" s="9" t="str"/>
      <x:c r="N205" s="9" t="n">
        <x:v>1</x:v>
      </x:c>
    </x:row>
    <x:row r="206">
      <x:c r="A206" s="9" t="str">
        <x:v>M11</x:v>
      </x:c>
      <x:c r="B206" s="9" t="str">
        <x:v>2/3</x:v>
      </x:c>
      <x:c r="C206" s="9" t="str">
        <x:v>Weihnachtsdorf</x:v>
      </x:c>
      <x:c r="D206" s="9" t="str">
        <x:v>Weichen</x:v>
      </x:c>
      <x:c r="E206" s="9" t="str">
        <x:v>60238</x:v>
      </x:c>
      <x:c r="F206" s="9" t="n">
        <x:v>1</x:v>
      </x:c>
      <x:c r="G206" s="9" t="n">
        <x:v>1</x:v>
      </x:c>
      <x:c r="H206" s="9"/>
      <x:c r="I206" s="9"/>
      <x:c r="J206" s="9"/>
      <x:c r="K206" s="43" t="n">
        <x:v>0.035</x:v>
      </x:c>
      <x:c r="L206" s="9" t="str">
        <x:v>SW</x:v>
      </x:c>
      <x:c r="M206" s="9" t="str"/>
      <x:c r="N206" s="9" t="n">
        <x:v>1</x:v>
      </x:c>
    </x:row>
    <x:row r="207">
      <x:c r="A207" s="9" t="str">
        <x:v>M01</x:v>
      </x:c>
      <x:c r="B207" s="9" t="str">
        <x:v>1/1</x:v>
      </x:c>
      <x:c r="C207" s="9" t="str">
        <x:v>Weihnachtsdorf</x:v>
      </x:c>
      <x:c r="D207" s="9" t="str">
        <x:v>Straßenkreuzung mit Ampeln</x:v>
      </x:c>
      <x:c r="E207" s="9" t="str">
        <x:v>60304</x:v>
      </x:c>
      <x:c r="F207" s="9" t="n">
        <x:v>1</x:v>
      </x:c>
      <x:c r="G207" s="9" t="n">
        <x:v>10</x:v>
      </x:c>
      <x:c r="H207" s="9"/>
      <x:c r="I207" s="9"/>
      <x:c r="J207" s="9"/>
      <x:c r="K207" s="43" t="n">
        <x:v>0.05</x:v>
      </x:c>
      <x:c r="L207" s="9" t="str">
        <x:v>SW</x:v>
      </x:c>
      <x:c r="M207" s="9" t="str"/>
      <x:c r="N207" s="9" t="n">
        <x:v>1</x:v>
      </x:c>
    </x:row>
    <x:row r="208">
      <x:c r="A208" s="9" t="str">
        <x:v>M03</x:v>
      </x:c>
      <x:c r="B208" s="9" t="str">
        <x:v>1/3</x:v>
      </x:c>
      <x:c r="C208" s="9" t="str">
        <x:v>Weihnachtsdorf</x:v>
      </x:c>
      <x:c r="D208" s="9" t="str">
        <x:v>Straßenkreuzung mit Ampeln</x:v>
      </x:c>
      <x:c r="E208" s="9" t="str">
        <x:v>60304</x:v>
      </x:c>
      <x:c r="F208" s="9" t="n">
        <x:v>2</x:v>
      </x:c>
      <x:c r="G208" s="9" t="n">
        <x:v>10</x:v>
      </x:c>
      <x:c r="H208" s="9"/>
      <x:c r="I208" s="9"/>
      <x:c r="J208" s="9"/>
      <x:c r="K208" s="43" t="n">
        <x:v>0.05</x:v>
      </x:c>
      <x:c r="L208" s="9" t="str">
        <x:v>SW</x:v>
      </x:c>
      <x:c r="M208" s="9" t="str"/>
      <x:c r="N208" s="9" t="n">
        <x:v>1</x:v>
      </x:c>
    </x:row>
    <x:row r="209">
      <x:c r="A209" s="9" t="str">
        <x:v>M10</x:v>
      </x:c>
      <x:c r="B209" s="9" t="str">
        <x:v>2/2</x:v>
      </x:c>
      <x:c r="C209" s="9" t="str">
        <x:v>Weihnachtsdorf</x:v>
      </x:c>
      <x:c r="D209" s="9" t="str">
        <x:v>Straßenkreuzung mit Ampeln</x:v>
      </x:c>
      <x:c r="E209" s="9" t="str">
        <x:v>60304</x:v>
      </x:c>
      <x:c r="F209" s="9" t="n">
        <x:v>3</x:v>
      </x:c>
      <x:c r="G209" s="9" t="n">
        <x:v>10</x:v>
      </x:c>
      <x:c r="H209" s="9"/>
      <x:c r="I209" s="9"/>
      <x:c r="J209" s="9"/>
      <x:c r="K209" s="43" t="n">
        <x:v>0.05</x:v>
      </x:c>
      <x:c r="L209" s="9" t="str">
        <x:v>SW</x:v>
      </x:c>
      <x:c r="M209" s="9" t="str"/>
      <x:c r="N209" s="9" t="n">
        <x:v>1</x:v>
      </x:c>
    </x:row>
    <x:row r="210">
      <x:c r="A210" s="9" t="str">
        <x:v>M02</x:v>
      </x:c>
      <x:c r="B210" s="9" t="str">
        <x:v>1/2</x:v>
      </x:c>
      <x:c r="C210" s="9" t="str">
        <x:v>Weihnachtsdorf</x:v>
      </x:c>
      <x:c r="D210" s="9" t="str">
        <x:v>Straßenkreuzung mit Ampeln</x:v>
      </x:c>
      <x:c r="E210" s="9" t="str">
        <x:v>60304</x:v>
      </x:c>
      <x:c r="F210" s="9" t="n">
        <x:v>4</x:v>
      </x:c>
      <x:c r="G210" s="9" t="n">
        <x:v>10</x:v>
      </x:c>
      <x:c r="H210" s="9"/>
      <x:c r="I210" s="9"/>
      <x:c r="J210" s="9"/>
      <x:c r="K210" s="43" t="n">
        <x:v>0.05</x:v>
      </x:c>
      <x:c r="L210" s="9" t="str">
        <x:v>NW</x:v>
      </x:c>
      <x:c r="M210" s="9" t="str"/>
      <x:c r="N210" s="9" t="n">
        <x:v>1</x:v>
      </x:c>
    </x:row>
    <x:row r="211">
      <x:c r="A211" s="9" t="str">
        <x:v>M09</x:v>
      </x:c>
      <x:c r="B211" s="9" t="str">
        <x:v>2/1</x:v>
      </x:c>
      <x:c r="C211" s="9" t="str">
        <x:v>Weihnachtsdorf</x:v>
      </x:c>
      <x:c r="D211" s="9" t="str">
        <x:v>Straßenkreuzung mit Ampeln</x:v>
      </x:c>
      <x:c r="E211" s="9" t="str">
        <x:v>60304</x:v>
      </x:c>
      <x:c r="F211" s="9" t="n">
        <x:v>5</x:v>
      </x:c>
      <x:c r="G211" s="9" t="n">
        <x:v>10</x:v>
      </x:c>
      <x:c r="H211" s="9"/>
      <x:c r="I211" s="9"/>
      <x:c r="J211" s="9"/>
      <x:c r="K211" s="43" t="n">
        <x:v>0.05</x:v>
      </x:c>
      <x:c r="L211" s="9" t="str">
        <x:v>SW</x:v>
      </x:c>
      <x:c r="M211" s="9" t="str"/>
      <x:c r="N211" s="9" t="n">
        <x:v>1</x:v>
      </x:c>
    </x:row>
    <x:row r="212">
      <x:c r="A212" s="9" t="str">
        <x:v>M20</x:v>
      </x:c>
      <x:c r="B212" s="9" t="str">
        <x:v>3/8</x:v>
      </x:c>
      <x:c r="C212" s="9" t="str">
        <x:v>Disney/Springfield</x:v>
      </x:c>
      <x:c r="D212" s="9" t="str">
        <x:v>Straßenkreuzung mit Ampeln</x:v>
      </x:c>
      <x:c r="E212" s="9" t="str">
        <x:v>60304</x:v>
      </x:c>
      <x:c r="F212" s="9" t="n">
        <x:v>6</x:v>
      </x:c>
      <x:c r="G212" s="9" t="n">
        <x:v>10</x:v>
      </x:c>
      <x:c r="H212" s="9"/>
      <x:c r="I212" s="9"/>
      <x:c r="J212" s="9"/>
      <x:c r="K212" s="43" t="n">
        <x:v>0.05</x:v>
      </x:c>
      <x:c r="L212" s="9" t="str">
        <x:v>Rand außen</x:v>
      </x:c>
      <x:c r="M212" s="9" t="str"/>
      <x:c r="N212" s="9" t="n">
        <x:v>1</x:v>
      </x:c>
    </x:row>
    <x:row r="213">
      <x:c r="A213" s="9" t="str">
        <x:v>M23</x:v>
      </x:c>
      <x:c r="B213" s="9" t="str">
        <x:v>4/7</x:v>
      </x:c>
      <x:c r="C213" s="9" t="str">
        <x:v>Disney/Springfield</x:v>
      </x:c>
      <x:c r="D213" s="9" t="str">
        <x:v>Straßenkreuzung mit Ampeln</x:v>
      </x:c>
      <x:c r="E213" s="9" t="str">
        <x:v>60304</x:v>
      </x:c>
      <x:c r="F213" s="9" t="n">
        <x:v>7</x:v>
      </x:c>
      <x:c r="G213" s="9" t="n">
        <x:v>10</x:v>
      </x:c>
      <x:c r="H213" s="9"/>
      <x:c r="I213" s="9"/>
      <x:c r="J213" s="9"/>
      <x:c r="K213" s="43" t="n">
        <x:v>0.05</x:v>
      </x:c>
      <x:c r="L213" s="9" t="str">
        <x:v>Rand innen</x:v>
      </x:c>
      <x:c r="M213" s="9" t="str"/>
      <x:c r="N213" s="9" t="n">
        <x:v>1</x:v>
      </x:c>
    </x:row>
    <x:row r="214">
      <x:c r="A214" s="9" t="str">
        <x:v>M24</x:v>
      </x:c>
      <x:c r="B214" s="9" t="str">
        <x:v>4/8</x:v>
      </x:c>
      <x:c r="C214" s="9" t="str">
        <x:v>Disney/Springfield</x:v>
      </x:c>
      <x:c r="D214" s="9" t="str">
        <x:v>Straßenkreuzung mit Ampeln</x:v>
      </x:c>
      <x:c r="E214" s="9" t="str">
        <x:v>60304</x:v>
      </x:c>
      <x:c r="F214" s="9" t="n">
        <x:v>8</x:v>
      </x:c>
      <x:c r="G214" s="9" t="n">
        <x:v>10</x:v>
      </x:c>
      <x:c r="H214" s="9"/>
      <x:c r="I214" s="9"/>
      <x:c r="J214" s="9"/>
      <x:c r="K214" s="43" t="n">
        <x:v>0.05</x:v>
      </x:c>
      <x:c r="L214" s="9" t="str">
        <x:v>Rand innen</x:v>
      </x:c>
      <x:c r="M214" s="9" t="str"/>
      <x:c r="N214" s="9" t="n">
        <x:v>1</x:v>
      </x:c>
    </x:row>
    <x:row r="215">
      <x:c r="A215" s="9" t="str">
        <x:v>M04</x:v>
      </x:c>
      <x:c r="B215" s="9" t="str">
        <x:v>1/4</x:v>
      </x:c>
      <x:c r="C215" s="9" t="str">
        <x:v>Weihnachtsdorf</x:v>
      </x:c>
      <x:c r="D215" s="9" t="str">
        <x:v>Straßenkreuzung mit Ampeln</x:v>
      </x:c>
      <x:c r="E215" s="9" t="str">
        <x:v>60304</x:v>
      </x:c>
      <x:c r="F215" s="9" t="n">
        <x:v>9</x:v>
      </x:c>
      <x:c r="G215" s="9" t="n">
        <x:v>10</x:v>
      </x:c>
      <x:c r="H215" s="9"/>
      <x:c r="I215" s="9"/>
      <x:c r="J215" s="9"/>
      <x:c r="K215" s="43" t="n">
        <x:v>0.05</x:v>
      </x:c>
      <x:c r="L215" s="9" t="str">
        <x:v>SW</x:v>
      </x:c>
      <x:c r="M215" s="9" t="str"/>
      <x:c r="N215" s="9" t="n">
        <x:v>1</x:v>
      </x:c>
    </x:row>
    <x:row r="216">
      <x:c r="A216" s="9" t="str">
        <x:v>M01</x:v>
      </x:c>
      <x:c r="B216" s="9" t="str">
        <x:v>1/1</x:v>
      </x:c>
      <x:c r="C216" s="9" t="str">
        <x:v>Weihnachtsdorf</x:v>
      </x:c>
      <x:c r="D216" s="9" t="str">
        <x:v>Straßenkreuzung mit Ampeln</x:v>
      </x:c>
      <x:c r="E216" s="9" t="str">
        <x:v>60304</x:v>
      </x:c>
      <x:c r="F216" s="9" t="n">
        <x:v>10</x:v>
      </x:c>
      <x:c r="G216" s="9" t="n">
        <x:v>10</x:v>
      </x:c>
      <x:c r="H216" s="9"/>
      <x:c r="I216" s="9"/>
      <x:c r="J216" s="9"/>
      <x:c r="K216" s="43" t="n">
        <x:v>0.05</x:v>
      </x:c>
      <x:c r="L216" s="9" t="str">
        <x:v>SE</x:v>
      </x:c>
      <x:c r="M216" s="9" t="str"/>
      <x:c r="N216" s="9" t="n">
        <x:v>1</x:v>
      </x:c>
    </x:row>
    <x:row r="217">
      <x:c r="A217" s="9" t="str">
        <x:v>M39</x:v>
      </x:c>
      <x:c r="B217" s="9" t="str">
        <x:v>6/7</x:v>
      </x:c>
      <x:c r="C217" s="9" t="str">
        <x:v>Botanik/Technik</x:v>
      </x:c>
      <x:c r="D217" s="9" t="str">
        <x:v>LEGO® City Adventskalender 2023</x:v>
      </x:c>
      <x:c r="E217" s="9" t="str">
        <x:v>60381</x:v>
      </x:c>
      <x:c r="F217" s="9" t="n">
        <x:v>1</x:v>
      </x:c>
      <x:c r="G217" s="9" t="n">
        <x:v>1</x:v>
      </x:c>
      <x:c r="H217" s="9"/>
      <x:c r="I217" s="9"/>
      <x:c r="J217" s="9"/>
      <x:c r="K217" s="43" t="n">
        <x:v>0.035</x:v>
      </x:c>
      <x:c r="L217" s="9" t="str">
        <x:v>SE</x:v>
      </x:c>
      <x:c r="M217" s="9" t="str"/>
      <x:c r="N217" s="9" t="n">
        <x:v>4</x:v>
      </x:c>
    </x:row>
    <x:row r="218">
      <x:c r="A218" s="9" t="str">
        <x:v>M23</x:v>
      </x:c>
      <x:c r="B218" s="9" t="str">
        <x:v>4/7</x:v>
      </x:c>
      <x:c r="C218" s="9" t="str">
        <x:v>Disney/Springfield</x:v>
      </x:c>
      <x:c r="D218" s="9" t="str">
        <x:v>Das Simpsons™ Haus</x:v>
      </x:c>
      <x:c r="E218" s="9" t="str">
        <x:v>71006</x:v>
      </x:c>
      <x:c r="F218" s="9" t="n">
        <x:v>1</x:v>
      </x:c>
      <x:c r="G218" s="9" t="n">
        <x:v>1</x:v>
      </x:c>
      <x:c r="H218" s="9" t="n">
        <x:v>42</x:v>
      </x:c>
      <x:c r="I218" s="9" t="n">
        <x:v>24</x:v>
      </x:c>
      <x:c r="J218" s="9" t="n">
        <x:v>23</x:v>
      </x:c>
      <x:c r="K218" s="43" t="n">
        <x:v>0.1008</x:v>
      </x:c>
      <x:c r="L218" s="9" t="str">
        <x:v>Rand außen</x:v>
      </x:c>
      <x:c r="M218" s="9" t="str"/>
      <x:c r="N218" s="9" t="n">
        <x:v>4</x:v>
      </x:c>
    </x:row>
    <x:row r="219">
      <x:c r="A219" s="9" t="str">
        <x:v>M24</x:v>
      </x:c>
      <x:c r="B219" s="9" t="str">
        <x:v>4/8</x:v>
      </x:c>
      <x:c r="C219" s="9" t="str">
        <x:v>Disney/Springfield</x:v>
      </x:c>
      <x:c r="D219" s="9" t="str">
        <x:v>Kwik-E-Mart</x:v>
      </x:c>
      <x:c r="E219" s="9" t="str">
        <x:v>71016</x:v>
      </x:c>
      <x:c r="F219" s="9" t="n">
        <x:v>1</x:v>
      </x:c>
      <x:c r="G219" s="9" t="n">
        <x:v>1</x:v>
      </x:c>
      <x:c r="H219" s="9" t="n">
        <x:v>38</x:v>
      </x:c>
      <x:c r="I219" s="9" t="n">
        <x:v>27</x:v>
      </x:c>
      <x:c r="J219" s="9" t="n">
        <x:v>14</x:v>
      </x:c>
      <x:c r="K219" s="43" t="n">
        <x:v>0.1026</x:v>
      </x:c>
      <x:c r="L219" s="9" t="str">
        <x:v>Rand außen</x:v>
      </x:c>
      <x:c r="M219" s="9" t="str"/>
      <x:c r="N219" s="9" t="n">
        <x:v>4</x:v>
      </x:c>
    </x:row>
    <x:row r="220">
      <x:c r="A220" s="9" t="str">
        <x:v>M20</x:v>
      </x:c>
      <x:c r="B220" s="9" t="str">
        <x:v>3/8</x:v>
      </x:c>
      <x:c r="C220" s="9" t="str">
        <x:v>Disney/Springfield</x:v>
      </x:c>
      <x:c r="D220" s="9" t="str">
        <x:v>Game Boy™</x:v>
      </x:c>
      <x:c r="E220" s="9" t="str">
        <x:v>72046</x:v>
      </x:c>
      <x:c r="F220" s="9" t="n">
        <x:v>1</x:v>
      </x:c>
      <x:c r="G220" s="9" t="n">
        <x:v>1</x:v>
      </x:c>
      <x:c r="H220" s="9"/>
      <x:c r="I220" s="9"/>
      <x:c r="J220" s="9"/>
      <x:c r="K220" s="43" t="n">
        <x:v>0.015</x:v>
      </x:c>
      <x:c r="L220" s="9" t="str">
        <x:v>NW</x:v>
      </x:c>
      <x:c r="M220" s="9" t="str"/>
      <x:c r="N220" s="9" t="n">
        <x:v>4</x:v>
      </x:c>
    </x:row>
    <x:row r="221">
      <x:c r="A221" s="9" t="str">
        <x:v>M20</x:v>
      </x:c>
      <x:c r="B221" s="9" t="str">
        <x:v>3/8</x:v>
      </x:c>
      <x:c r="C221" s="9" t="str">
        <x:v>Disney/Springfield</x:v>
      </x:c>
      <x:c r="D221" s="9" t="str">
        <x:v>Donkey Kong Arcade</x:v>
      </x:c>
      <x:c r="E221" s="9" t="str">
        <x:v>72051</x:v>
      </x:c>
      <x:c r="F221" s="9" t="n">
        <x:v>1</x:v>
      </x:c>
      <x:c r="G221" s="9" t="n">
        <x:v>1</x:v>
      </x:c>
      <x:c r="H221" s="9"/>
      <x:c r="I221" s="9"/>
      <x:c r="J221" s="9"/>
      <x:c r="K221" s="43" t="n">
        <x:v>0.015</x:v>
      </x:c>
      <x:c r="L221" s="9" t="str">
        <x:v>NE</x:v>
      </x:c>
      <x:c r="M221" s="9" t="str"/>
      <x:c r="N221" s="9" t="n">
        <x:v>4</x:v>
      </x:c>
    </x:row>
    <x:row r="222">
      <x:c r="A222" s="9" t="str">
        <x:v>M06</x:v>
      </x:c>
      <x:c r="B222" s="9" t="str">
        <x:v>1/6</x:v>
      </x:c>
      <x:c r="C222" s="9" t="str">
        <x:v>Hogwarts</x:v>
      </x:c>
      <x:c r="D222" s="9" t="str">
        <x:v>Ligusterweg 4</x:v>
      </x:c>
      <x:c r="E222" s="9" t="str">
        <x:v>75968</x:v>
      </x:c>
      <x:c r="F222" s="9" t="n">
        <x:v>1</x:v>
      </x:c>
      <x:c r="G222" s="9" t="n">
        <x:v>1</x:v>
      </x:c>
      <x:c r="H222" s="9" t="n">
        <x:v>16</x:v>
      </x:c>
      <x:c r="I222" s="9" t="n">
        <x:v>12</x:v>
      </x:c>
      <x:c r="J222" s="9" t="n">
        <x:v>17</x:v>
      </x:c>
      <x:c r="K222" s="43" t="n">
        <x:v>0.0192</x:v>
      </x:c>
      <x:c r="L222" s="9" t="str">
        <x:v>NW</x:v>
      </x:c>
      <x:c r="M222" s="9" t="str"/>
      <x:c r="N222" s="9" t="n">
        <x:v>4</x:v>
      </x:c>
    </x:row>
    <x:row r="223">
      <x:c r="A223" s="9" t="str">
        <x:v>M05</x:v>
      </x:c>
      <x:c r="B223" s="9" t="str">
        <x:v>1/5</x:v>
      </x:c>
      <x:c r="C223" s="9" t="str">
        <x:v>Hogwarts</x:v>
      </x:c>
      <x:c r="D223" s="9" t="str">
        <x:v>Winkelgasse</x:v>
      </x:c>
      <x:c r="E223" s="9" t="str">
        <x:v>75978</x:v>
      </x:c>
      <x:c r="F223" s="9" t="n">
        <x:v>1</x:v>
      </x:c>
      <x:c r="G223" s="9" t="n">
        <x:v>1</x:v>
      </x:c>
      <x:c r="H223" s="9" t="n">
        <x:v>102</x:v>
      </x:c>
      <x:c r="I223" s="9" t="n">
        <x:v>13</x:v>
      </x:c>
      <x:c r="J223" s="9" t="n">
        <x:v>29</x:v>
      </x:c>
      <x:c r="K223" s="43" t="n">
        <x:v>0.1326</x:v>
      </x:c>
      <x:c r="L223" s="9" t="str">
        <x:v>ganze Breite</x:v>
      </x:c>
      <x:c r="M223" s="9" t="str">
        <x:v>entlang Modulkante platzieren</x:v>
      </x:c>
      <x:c r="N223" s="9" t="n">
        <x:v>4</x:v>
      </x:c>
    </x:row>
    <x:row r="224">
      <x:c r="A224" s="9" t="str">
        <x:v>M40</x:v>
      </x:c>
      <x:c r="B224" s="9" t="str">
        <x:v>6/8</x:v>
      </x:c>
      <x:c r="C224" s="9" t="str">
        <x:v>Botanik/Technik</x:v>
      </x:c>
      <x:c r="D224" s="9" t="str">
        <x:v>Sanctum Sanctorum</x:v>
      </x:c>
      <x:c r="E224" s="9" t="str">
        <x:v>76218</x:v>
      </x:c>
      <x:c r="F224" s="9" t="n">
        <x:v>1</x:v>
      </x:c>
      <x:c r="G224" s="9" t="n">
        <x:v>1</x:v>
      </x:c>
      <x:c r="H224" s="9" t="n">
        <x:v>31</x:v>
      </x:c>
      <x:c r="I224" s="9" t="n">
        <x:v>26</x:v>
      </x:c>
      <x:c r="J224" s="9" t="n">
        <x:v>32</x:v>
      </x:c>
      <x:c r="K224" s="43" t="n">
        <x:v>0.0806</x:v>
      </x:c>
      <x:c r="L224" s="9" t="str">
        <x:v>SE</x:v>
      </x:c>
      <x:c r="M224" s="9" t="str"/>
      <x:c r="N224" s="9" t="n">
        <x:v>4</x:v>
      </x:c>
    </x:row>
    <x:row r="225">
      <x:c r="A225" s="9" t="str">
        <x:v>M07</x:v>
      </x:c>
      <x:c r="B225" s="9" t="str">
        <x:v>1/7</x:v>
      </x:c>
      <x:c r="C225" s="9" t="str">
        <x:v>Hogwarts</x:v>
      </x:c>
      <x:c r="D225" s="9" t="str">
        <x:v>Besuch in Hogsmeade™</x:v>
      </x:c>
      <x:c r="E225" s="9" t="str">
        <x:v>76388</x:v>
      </x:c>
      <x:c r="F225" s="9" t="n">
        <x:v>1</x:v>
      </x:c>
      <x:c r="G225" s="9" t="n">
        <x:v>1</x:v>
      </x:c>
      <x:c r="H225" s="9" t="n">
        <x:v>30</x:v>
      </x:c>
      <x:c r="I225" s="9" t="n">
        <x:v>9</x:v>
      </x:c>
      <x:c r="J225" s="9" t="n">
        <x:v>22</x:v>
      </x:c>
      <x:c r="K225" s="43" t="n">
        <x:v>0.027</x:v>
      </x:c>
      <x:c r="L225" s="9" t="str">
        <x:v>NW</x:v>
      </x:c>
      <x:c r="M225" s="9" t="str"/>
      <x:c r="N225" s="9" t="n">
        <x:v>4</x:v>
      </x:c>
    </x:row>
    <x:row r="226">
      <x:c r="A226" s="9" t="str">
        <x:v>M08</x:v>
      </x:c>
      <x:c r="B226" s="9" t="str">
        <x:v>1/8</x:v>
      </x:c>
      <x:c r="C226" s="9" t="str">
        <x:v>Hogwarts</x:v>
      </x:c>
      <x:c r="D226" s="9" t="str">
        <x:v>Hogwarts™ Kammer des Schreckens</x:v>
      </x:c>
      <x:c r="E226" s="9" t="str">
        <x:v>76389</x:v>
      </x:c>
      <x:c r="F226" s="9" t="n">
        <x:v>1</x:v>
      </x:c>
      <x:c r="G226" s="9" t="n">
        <x:v>1</x:v>
      </x:c>
      <x:c r="H226" s="9" t="n">
        <x:v>40</x:v>
      </x:c>
      <x:c r="I226" s="9" t="n">
        <x:v>11</x:v>
      </x:c>
      <x:c r="J226" s="9" t="n">
        <x:v>40</x:v>
      </x:c>
      <x:c r="K226" s="43" t="n">
        <x:v>0.044</x:v>
      </x:c>
      <x:c r="L226" s="9" t="str">
        <x:v>NW</x:v>
      </x:c>
      <x:c r="M226" s="9" t="str"/>
      <x:c r="N226" s="9" t="n">
        <x:v>4</x:v>
      </x:c>
    </x:row>
    <x:row r="227">
      <x:c r="A227" s="9" t="str">
        <x:v>M14</x:v>
      </x:c>
      <x:c r="B227" s="9" t="str">
        <x:v>2/6</x:v>
      </x:c>
      <x:c r="C227" s="9" t="str">
        <x:v>Hogwarts</x:v>
      </x:c>
      <x:c r="D227" s="9" t="str">
        <x:v>Harry Potter™ &amp; Hermine Gran...</x:v>
      </x:c>
      <x:c r="E227" s="9" t="str">
        <x:v>76393</x:v>
      </x:c>
      <x:c r="F227" s="9" t="n">
        <x:v>1</x:v>
      </x:c>
      <x:c r="G227" s="9" t="n">
        <x:v>1</x:v>
      </x:c>
      <x:c r="H227" s="9"/>
      <x:c r="I227" s="9"/>
      <x:c r="J227" s="9"/>
      <x:c r="K227" s="43" t="n">
        <x:v>0.05</x:v>
      </x:c>
      <x:c r="L227" s="9" t="str">
        <x:v>NW</x:v>
      </x:c>
      <x:c r="M227" s="9" t="str"/>
      <x:c r="N227" s="9" t="n">
        <x:v>4</x:v>
      </x:c>
    </x:row>
    <x:row r="228">
      <x:c r="A228" s="9" t="str">
        <x:v>M15</x:v>
      </x:c>
      <x:c r="B228" s="9" t="str">
        <x:v>2/7</x:v>
      </x:c>
      <x:c r="C228" s="9" t="str">
        <x:v>Hogwarts</x:v>
      </x:c>
      <x:c r="D228" s="9" t="str">
        <x:v>Hogwarts™: Dumbledores Buro</x:v>
      </x:c>
      <x:c r="E228" s="9" t="str">
        <x:v>76402</x:v>
      </x:c>
      <x:c r="F228" s="9" t="n">
        <x:v>1</x:v>
      </x:c>
      <x:c r="G228" s="9" t="n">
        <x:v>1</x:v>
      </x:c>
      <x:c r="H228" s="9"/>
      <x:c r="I228" s="9"/>
      <x:c r="J228" s="9"/>
      <x:c r="K228" s="43" t="n">
        <x:v>0.05</x:v>
      </x:c>
      <x:c r="L228" s="9" t="str">
        <x:v>NW</x:v>
      </x:c>
      <x:c r="M228" s="9" t="str"/>
      <x:c r="N228" s="9" t="n">
        <x:v>4</x:v>
      </x:c>
    </x:row>
    <x:row r="229">
      <x:c r="A229" s="9" t="str">
        <x:v>M06</x:v>
      </x:c>
      <x:c r="B229" s="9" t="str">
        <x:v>1/6</x:v>
      </x:c>
      <x:c r="C229" s="9" t="str">
        <x:v>Hogwarts</x:v>
      </x:c>
      <x:c r="D229" s="9" t="str">
        <x:v>Zaubereiministerium</x:v>
      </x:c>
      <x:c r="E229" s="9" t="str">
        <x:v>76403</x:v>
      </x:c>
      <x:c r="F229" s="9" t="n">
        <x:v>1</x:v>
      </x:c>
      <x:c r="G229" s="9" t="n">
        <x:v>1</x:v>
      </x:c>
      <x:c r="H229" s="9"/>
      <x:c r="I229" s="9"/>
      <x:c r="J229" s="9"/>
      <x:c r="K229" s="43" t="n">
        <x:v>0.05</x:v>
      </x:c>
      <x:c r="L229" s="9" t="str">
        <x:v>NE</x:v>
      </x:c>
      <x:c r="M229" s="9" t="str"/>
      <x:c r="N229" s="9" t="n">
        <x:v>4</x:v>
      </x:c>
    </x:row>
    <x:row r="230">
      <x:c r="A230" s="9" t="str">
        <x:v>M07</x:v>
      </x:c>
      <x:c r="B230" s="9" t="str">
        <x:v>1/7</x:v>
      </x:c>
      <x:c r="C230" s="9" t="str">
        <x:v>Hogwarts</x:v>
      </x:c>
      <x:c r="D230" s="9" t="str">
        <x:v>Grimmauldplatz Nr. 12</x:v>
      </x:c>
      <x:c r="E230" s="9" t="str">
        <x:v>76408</x:v>
      </x:c>
      <x:c r="F230" s="9" t="n">
        <x:v>1</x:v>
      </x:c>
      <x:c r="G230" s="9" t="n">
        <x:v>1</x:v>
      </x:c>
      <x:c r="H230" s="9" t="n">
        <x:v>24</x:v>
      </x:c>
      <x:c r="I230" s="9" t="n">
        <x:v>12</x:v>
      </x:c>
      <x:c r="J230" s="9" t="n">
        <x:v>28</x:v>
      </x:c>
      <x:c r="K230" s="43" t="n">
        <x:v>0.0288</x:v>
      </x:c>
      <x:c r="L230" s="9" t="str">
        <x:v>NE</x:v>
      </x:c>
      <x:c r="M230" s="9" t="str"/>
      <x:c r="N230" s="9" t="n">
        <x:v>4</x:v>
      </x:c>
    </x:row>
    <x:row r="231">
      <x:c r="A231" s="9" t="str">
        <x:v>M08</x:v>
      </x:c>
      <x:c r="B231" s="9" t="str">
        <x:v>1/8</x:v>
      </x:c>
      <x:c r="C231" s="9" t="str">
        <x:v>Hogwarts</x:v>
      </x:c>
      <x:c r="D231" s="9" t="str">
        <x:v>Der Kampf um Hogwarts™</x:v>
      </x:c>
      <x:c r="E231" s="9" t="str">
        <x:v>76415</x:v>
      </x:c>
      <x:c r="F231" s="9" t="n">
        <x:v>1</x:v>
      </x:c>
      <x:c r="G231" s="9" t="n">
        <x:v>1</x:v>
      </x:c>
      <x:c r="H231" s="9"/>
      <x:c r="I231" s="9"/>
      <x:c r="J231" s="9"/>
      <x:c r="K231" s="43" t="n">
        <x:v>0.05</x:v>
      </x:c>
      <x:c r="L231" s="9" t="str">
        <x:v>NE</x:v>
      </x:c>
      <x:c r="M231" s="9" t="str"/>
      <x:c r="N231" s="9" t="n">
        <x:v>4</x:v>
      </x:c>
    </x:row>
    <x:row r="232">
      <x:c r="A232" s="9" t="str">
        <x:v>M16</x:v>
      </x:c>
      <x:c r="B232" s="9" t="str">
        <x:v>2/8</x:v>
      </x:c>
      <x:c r="C232" s="9" t="str">
        <x:v>Hogwarts</x:v>
      </x:c>
      <x:c r="D232" s="9" t="str">
        <x:v>Schloss Hogwarts™ mit Schlossgelan...</x:v>
      </x:c>
      <x:c r="E232" s="9" t="str">
        <x:v>76419</x:v>
      </x:c>
      <x:c r="F232" s="9" t="n">
        <x:v>1</x:v>
      </x:c>
      <x:c r="G232" s="9" t="n">
        <x:v>1</x:v>
      </x:c>
      <x:c r="H232" s="9" t="n">
        <x:v>35</x:v>
      </x:c>
      <x:c r="I232" s="9" t="n">
        <x:v>25</x:v>
      </x:c>
      <x:c r="J232" s="9" t="n">
        <x:v>21</x:v>
      </x:c>
      <x:c r="K232" s="43" t="n">
        <x:v>0.0875</x:v>
      </x:c>
      <x:c r="L232" s="9" t="str">
        <x:v>NE</x:v>
      </x:c>
      <x:c r="M232" s="9" t="str"/>
      <x:c r="N232" s="9" t="n">
        <x:v>4</x:v>
      </x:c>
    </x:row>
    <x:row r="233">
      <x:c r="A233" s="9" t="str">
        <x:v>M14</x:v>
      </x:c>
      <x:c r="B233" s="9" t="str">
        <x:v>2/6</x:v>
      </x:c>
      <x:c r="C233" s="9" t="str">
        <x:v>Hogwarts</x:v>
      </x:c>
      <x:c r="D233" s="9" t="str">
        <x:v>Trimagisches Turnier: Der Schwarze ...</x:v>
      </x:c>
      <x:c r="E233" s="9" t="str">
        <x:v>76420</x:v>
      </x:c>
      <x:c r="F233" s="9" t="n">
        <x:v>1</x:v>
      </x:c>
      <x:c r="G233" s="9" t="n">
        <x:v>1</x:v>
      </x:c>
      <x:c r="H233" s="9"/>
      <x:c r="I233" s="9"/>
      <x:c r="J233" s="9"/>
      <x:c r="K233" s="43" t="n">
        <x:v>0.05</x:v>
      </x:c>
      <x:c r="L233" s="9" t="str">
        <x:v>NE</x:v>
      </x:c>
      <x:c r="M233" s="9" t="str"/>
      <x:c r="N233" s="9" t="n">
        <x:v>4</x:v>
      </x:c>
    </x:row>
    <x:row r="234">
      <x:c r="A234" s="9" t="str">
        <x:v>M15</x:v>
      </x:c>
      <x:c r="B234" s="9" t="str">
        <x:v>2/7</x:v>
      </x:c>
      <x:c r="C234" s="9" t="str">
        <x:v>Hogwarts</x:v>
      </x:c>
      <x:c r="D234" s="9" t="str">
        <x:v>Fliegender Ford Anglia™</x:v>
      </x:c>
      <x:c r="E234" s="9" t="str">
        <x:v>76424</x:v>
      </x:c>
      <x:c r="F234" s="9" t="n">
        <x:v>1</x:v>
      </x:c>
      <x:c r="G234" s="9" t="n">
        <x:v>1</x:v>
      </x:c>
      <x:c r="H234" s="9"/>
      <x:c r="I234" s="9"/>
      <x:c r="J234" s="9"/>
      <x:c r="K234" s="43" t="n">
        <x:v>0.05</x:v>
      </x:c>
      <x:c r="L234" s="9" t="str">
        <x:v>NE</x:v>
      </x:c>
      <x:c r="M234" s="9" t="str"/>
      <x:c r="N234" s="9" t="n">
        <x:v>4</x:v>
      </x:c>
    </x:row>
    <x:row r="235">
      <x:c r="A235" s="9" t="str">
        <x:v>M07</x:v>
      </x:c>
      <x:c r="B235" s="9" t="str">
        <x:v>1/7</x:v>
      </x:c>
      <x:c r="C235" s="9" t="str">
        <x:v>Hogwarts</x:v>
      </x:c>
      <x:c r="D235" s="9" t="str">
        <x:v>Bootshaus von Schloss Hogwarts</x:v>
      </x:c>
      <x:c r="E235" s="9" t="str">
        <x:v>76426</x:v>
      </x:c>
      <x:c r="F235" s="9" t="n">
        <x:v>1</x:v>
      </x:c>
      <x:c r="G235" s="9" t="n">
        <x:v>1</x:v>
      </x:c>
      <x:c r="H235" s="9"/>
      <x:c r="I235" s="9"/>
      <x:c r="J235" s="9"/>
      <x:c r="K235" s="43" t="n">
        <x:v>0.05</x:v>
      </x:c>
      <x:c r="L235" s="9" t="str">
        <x:v>SW</x:v>
      </x:c>
      <x:c r="M235" s="9" t="str"/>
      <x:c r="N235" s="9" t="n">
        <x:v>4</x:v>
      </x:c>
    </x:row>
    <x:row r="236">
      <x:c r="A236" s="9" t="str">
        <x:v>M06</x:v>
      </x:c>
      <x:c r="B236" s="9" t="str">
        <x:v>1/6</x:v>
      </x:c>
      <x:c r="C236" s="9" t="str">
        <x:v>Hogwarts</x:v>
      </x:c>
      <x:c r="D236" s="9" t="str">
        <x:v>Hagrids Hütte: Ein unerwarteter Besuch</x:v>
      </x:c>
      <x:c r="E236" s="9" t="str">
        <x:v>76428</x:v>
      </x:c>
      <x:c r="F236" s="9" t="n">
        <x:v>1</x:v>
      </x:c>
      <x:c r="G236" s="9" t="n">
        <x:v>1</x:v>
      </x:c>
      <x:c r="H236" s="9"/>
      <x:c r="I236" s="9"/>
      <x:c r="J236" s="9"/>
      <x:c r="K236" s="43" t="n">
        <x:v>0.05</x:v>
      </x:c>
      <x:c r="L236" s="9" t="str">
        <x:v>SW</x:v>
      </x:c>
      <x:c r="M236" s="9" t="str"/>
      <x:c r="N236" s="9" t="n">
        <x:v>4</x:v>
      </x:c>
    </x:row>
    <x:row r="237">
      <x:c r="A237" s="9" t="str">
        <x:v>M13</x:v>
      </x:c>
      <x:c r="B237" s="9" t="str">
        <x:v>2/5</x:v>
      </x:c>
      <x:c r="C237" s="9" t="str">
        <x:v>Hogwarts</x:v>
      </x:c>
      <x:c r="D237" s="9" t="str">
        <x:v>Eulerei auf Schloss Hogwarts</x:v>
      </x:c>
      <x:c r="E237" s="9" t="str">
        <x:v>76430</x:v>
      </x:c>
      <x:c r="F237" s="9" t="n">
        <x:v>1</x:v>
      </x:c>
      <x:c r="G237" s="9" t="n">
        <x:v>1</x:v>
      </x:c>
      <x:c r="H237" s="9"/>
      <x:c r="I237" s="9"/>
      <x:c r="J237" s="9"/>
      <x:c r="K237" s="43" t="n">
        <x:v>0.05</x:v>
      </x:c>
      <x:c r="L237" s="9" t="str">
        <x:v>NE</x:v>
      </x:c>
      <x:c r="M237" s="9" t="str"/>
      <x:c r="N237" s="9" t="n">
        <x:v>4</x:v>
      </x:c>
    </x:row>
    <x:row r="238">
      <x:c r="A238" s="9" t="str">
        <x:v>M08</x:v>
      </x:c>
      <x:c r="B238" s="9" t="str">
        <x:v>1/8</x:v>
      </x:c>
      <x:c r="C238" s="9" t="str">
        <x:v>Hogwarts</x:v>
      </x:c>
      <x:c r="D238" s="9" t="str">
        <x:v>Der verbotene Wald: Magische Wesen</x:v>
      </x:c>
      <x:c r="E238" s="9" t="str">
        <x:v>76432</x:v>
      </x:c>
      <x:c r="F238" s="9" t="n">
        <x:v>1</x:v>
      </x:c>
      <x:c r="G238" s="9" t="n">
        <x:v>1</x:v>
      </x:c>
      <x:c r="H238" s="9"/>
      <x:c r="I238" s="9"/>
      <x:c r="J238" s="9"/>
      <x:c r="K238" s="43" t="n">
        <x:v>0.05</x:v>
      </x:c>
      <x:c r="L238" s="9" t="str">
        <x:v>SW</x:v>
      </x:c>
      <x:c r="M238" s="9" t="str"/>
      <x:c r="N238" s="9" t="n">
        <x:v>4</x:v>
      </x:c>
    </x:row>
    <x:row r="239">
      <x:c r="A239" s="9" t="str">
        <x:v>M14</x:v>
      </x:c>
      <x:c r="B239" s="9" t="str">
        <x:v>2/6</x:v>
      </x:c>
      <x:c r="C239" s="9" t="str">
        <x:v>Hogwarts</x:v>
      </x:c>
      <x:c r="D239" s="9" t="str">
        <x:v>Der Fuchsbau —- Sammleredition</x:v>
      </x:c>
      <x:c r="E239" s="9" t="str">
        <x:v>76437</x:v>
      </x:c>
      <x:c r="F239" s="9" t="n">
        <x:v>1</x:v>
      </x:c>
      <x:c r="G239" s="9" t="n">
        <x:v>1</x:v>
      </x:c>
      <x:c r="H239" s="9" t="n">
        <x:v>25</x:v>
      </x:c>
      <x:c r="I239" s="9" t="n">
        <x:v>23</x:v>
      </x:c>
      <x:c r="J239" s="9" t="n">
        <x:v>46</x:v>
      </x:c>
      <x:c r="K239" s="43" t="n">
        <x:v>0.0575</x:v>
      </x:c>
      <x:c r="L239" s="9" t="str">
        <x:v>SW</x:v>
      </x:c>
      <x:c r="M239" s="9" t="str"/>
      <x:c r="N239" s="9" t="n">
        <x:v>4</x:v>
      </x:c>
    </x:row>
    <x:row r="240">
      <x:c r="A240" s="9" t="str">
        <x:v>M15</x:v>
      </x:c>
      <x:c r="B240" s="9" t="str">
        <x:v>2/7</x:v>
      </x:c>
      <x:c r="C240" s="9" t="str">
        <x:v>Hogwarts</x:v>
      </x:c>
      <x:c r="D240" s="9" t="str">
        <x:v>LEGO Harry Potter Adventskalender</x:v>
      </x:c>
      <x:c r="E240" s="9" t="str">
        <x:v>76438</x:v>
      </x:c>
      <x:c r="F240" s="9" t="n">
        <x:v>1</x:v>
      </x:c>
      <x:c r="G240" s="9" t="n">
        <x:v>1</x:v>
      </x:c>
      <x:c r="H240" s="9"/>
      <x:c r="I240" s="9"/>
      <x:c r="J240" s="9"/>
      <x:c r="K240" s="43" t="n">
        <x:v>0.05</x:v>
      </x:c>
      <x:c r="L240" s="9" t="str">
        <x:v>SW</x:v>
      </x:c>
      <x:c r="M240" s="9" t="str"/>
      <x:c r="N240" s="9" t="n">
        <x:v>4</x:v>
      </x:c>
    </x:row>
    <x:row r="241">
      <x:c r="A241" s="9" t="str">
        <x:v>M13</x:v>
      </x:c>
      <x:c r="B241" s="9" t="str">
        <x:v>2/5</x:v>
      </x:c>
      <x:c r="C241" s="9" t="str">
        <x:v>Hogwarts</x:v>
      </x:c>
      <x:c r="D241" s="9" t="str">
        <x:v>Die Zauberladen der Winkelgasse™</x:v>
      </x:c>
      <x:c r="E241" s="9" t="str">
        <x:v>76444</x:v>
      </x:c>
      <x:c r="F241" s="9" t="n">
        <x:v>1</x:v>
      </x:c>
      <x:c r="G241" s="9" t="n">
        <x:v>1</x:v>
      </x:c>
      <x:c r="H241" s="9" t="n">
        <x:v>88</x:v>
      </x:c>
      <x:c r="I241" s="9" t="n">
        <x:v>8</x:v>
      </x:c>
      <x:c r="J241" s="9" t="n">
        <x:v>14</x:v>
      </x:c>
      <x:c r="K241" s="43" t="n">
        <x:v>0.0704</x:v>
      </x:c>
      <x:c r="L241" s="9" t="str">
        <x:v>ganze Breite</x:v>
      </x:c>
      <x:c r="M241" s="9" t="str">
        <x:v>entlang Modulkante platzieren</x:v>
      </x:c>
      <x:c r="N241" s="9" t="n">
        <x:v>4</x:v>
      </x:c>
    </x:row>
    <x:row r="242">
      <x:c r="A242" s="9" t="str">
        <x:v>M07</x:v>
      </x:c>
      <x:c r="B242" s="9" t="str">
        <x:v>1/7</x:v>
      </x:c>
      <x:c r="C242" s="9" t="str">
        <x:v>Hogwarts</x:v>
      </x:c>
      <x:c r="D242" s="9" t="str">
        <x:v>Hogwarts Castle: Herbology Class</x:v>
      </x:c>
      <x:c r="E242" s="9" t="str">
        <x:v>76445</x:v>
      </x:c>
      <x:c r="F242" s="9" t="n">
        <x:v>1</x:v>
      </x:c>
      <x:c r="G242" s="9" t="n">
        <x:v>1</x:v>
      </x:c>
      <x:c r="H242" s="9"/>
      <x:c r="I242" s="9"/>
      <x:c r="J242" s="9"/>
      <x:c r="K242" s="43" t="n">
        <x:v>0.05</x:v>
      </x:c>
      <x:c r="L242" s="9" t="str">
        <x:v>SE</x:v>
      </x:c>
      <x:c r="M242" s="9" t="str"/>
      <x:c r="N242" s="9" t="n">
        <x:v>4</x:v>
      </x:c>
    </x:row>
    <x:row r="243">
      <x:c r="A243" s="9" t="str">
        <x:v>M06</x:v>
      </x:c>
      <x:c r="B243" s="9" t="str">
        <x:v>1/6</x:v>
      </x:c>
      <x:c r="C243" s="9" t="str">
        <x:v>Hogwarts</x:v>
      </x:c>
      <x:c r="D243" s="9" t="str">
        <x:v>Privet Drive: Aunt Marge's Visit</x:v>
      </x:c>
      <x:c r="E243" s="9" t="str">
        <x:v>76451</x:v>
      </x:c>
      <x:c r="F243" s="9" t="n">
        <x:v>1</x:v>
      </x:c>
      <x:c r="G243" s="9" t="n">
        <x:v>1</x:v>
      </x:c>
      <x:c r="H243" s="9"/>
      <x:c r="I243" s="9"/>
      <x:c r="J243" s="9"/>
      <x:c r="K243" s="43" t="n">
        <x:v>0.05</x:v>
      </x:c>
      <x:c r="L243" s="9" t="str">
        <x:v>SE</x:v>
      </x:c>
      <x:c r="M243" s="9" t="str"/>
      <x:c r="N243" s="9" t="n">
        <x:v>4</x:v>
      </x:c>
    </x:row>
    <x:row r="244">
      <x:c r="A244" s="9" t="str">
        <x:v>M08</x:v>
      </x:c>
      <x:c r="B244" s="9" t="str">
        <x:v>1/8</x:v>
      </x:c>
      <x:c r="C244" s="9" t="str">
        <x:v>Hogwarts</x:v>
      </x:c>
      <x:c r="D244" s="9" t="str">
        <x:v>Landsitz der Familie Malfoy</x:v>
      </x:c>
      <x:c r="E244" s="9" t="str">
        <x:v>76453</x:v>
      </x:c>
      <x:c r="F244" s="9" t="n">
        <x:v>1</x:v>
      </x:c>
      <x:c r="G244" s="9" t="n">
        <x:v>1</x:v>
      </x:c>
      <x:c r="H244" s="9" t="n">
        <x:v>30</x:v>
      </x:c>
      <x:c r="I244" s="9" t="n">
        <x:v>17</x:v>
      </x:c>
      <x:c r="J244" s="9" t="n">
        <x:v>31</x:v>
      </x:c>
      <x:c r="K244" s="43" t="n">
        <x:v>0.051</x:v>
      </x:c>
      <x:c r="L244" s="9" t="str">
        <x:v>SE</x:v>
      </x:c>
      <x:c r="M244" s="9" t="str"/>
      <x:c r="N244" s="9" t="n">
        <x:v>4</x:v>
      </x:c>
    </x:row>
    <x:row r="245">
      <x:c r="A245" s="9" t="str">
        <x:v>M32</x:v>
      </x:c>
      <x:c r="B245" s="9" t="str">
        <x:v>5/8</x:v>
      </x:c>
      <x:c r="C245" s="9" t="str">
        <x:v>Botanik/Technik</x:v>
      </x:c>
      <x:c r="D245" s="9" t="str">
        <x:v>Flucht vor dem Jagdflugzeug</x:v>
      </x:c>
      <x:c r="E245" s="9" t="str">
        <x:v>77012</x:v>
      </x:c>
      <x:c r="F245" s="9" t="n">
        <x:v>1</x:v>
      </x:c>
      <x:c r="G245" s="9" t="n">
        <x:v>1</x:v>
      </x:c>
      <x:c r="H245" s="9"/>
      <x:c r="I245" s="9"/>
      <x:c r="J245" s="9"/>
      <x:c r="K245" s="43" t="n">
        <x:v>0.035</x:v>
      </x:c>
      <x:c r="L245" s="9" t="str">
        <x:v>Mitte</x:v>
      </x:c>
      <x:c r="M245" s="9" t="str"/>
      <x:c r="N245" s="9" t="n">
        <x:v>4</x:v>
      </x:c>
    </x:row>
    <x:row r="246">
      <x:c r="A246" s="9" t="str">
        <x:v>M31</x:v>
      </x:c>
      <x:c r="B246" s="9" t="str">
        <x:v>5/7</x:v>
      </x:c>
      <x:c r="C246" s="9" t="str">
        <x:v>Botanik/Technik</x:v>
      </x:c>
      <x:c r="D246" s="9" t="str">
        <x:v>Flucht aus dem Grabmal</x:v>
      </x:c>
      <x:c r="E246" s="9" t="str">
        <x:v>77013</x:v>
      </x:c>
      <x:c r="F246" s="9" t="n">
        <x:v>1</x:v>
      </x:c>
      <x:c r="G246" s="9" t="n">
        <x:v>1</x:v>
      </x:c>
      <x:c r="H246" s="9" t="n">
        <x:v>22</x:v>
      </x:c>
      <x:c r="I246" s="9" t="n">
        <x:v>21</x:v>
      </x:c>
      <x:c r="J246" s="9" t="n">
        <x:v>16</x:v>
      </x:c>
      <x:c r="K246" s="43" t="n">
        <x:v>0.0462</x:v>
      </x:c>
      <x:c r="L246" s="9" t="str">
        <x:v>Rand innen</x:v>
      </x:c>
      <x:c r="M246" s="9" t="str"/>
      <x:c r="N246" s="9" t="n">
        <x:v>4</x:v>
      </x:c>
    </x:row>
    <x:row r="247">
      <x:c r="A247" s="9" t="str">
        <x:v>M39</x:v>
      </x:c>
      <x:c r="B247" s="9" t="str">
        <x:v>6/7</x:v>
      </x:c>
      <x:c r="C247" s="9" t="str">
        <x:v>Botanik/Technik</x:v>
      </x:c>
      <x:c r="D247" s="9" t="str">
        <x:v>Tempel des goldenen Gotzen</x:v>
      </x:c>
      <x:c r="E247" s="9" t="str">
        <x:v>77015</x:v>
      </x:c>
      <x:c r="F247" s="9" t="n">
        <x:v>1</x:v>
      </x:c>
      <x:c r="G247" s="9" t="n">
        <x:v>1</x:v>
      </x:c>
      <x:c r="H247" s="9" t="n">
        <x:v>51</x:v>
      </x:c>
      <x:c r="I247" s="9" t="n">
        <x:v>19</x:v>
      </x:c>
      <x:c r="J247" s="9" t="n">
        <x:v>21</x:v>
      </x:c>
      <x:c r="K247" s="43" t="n">
        <x:v>0.0969</x:v>
      </x:c>
      <x:c r="L247" s="9" t="str">
        <x:v>Mitte</x:v>
      </x:c>
      <x:c r="M247" s="9" t="str"/>
      <x:c r="N247" s="9" t="n">
        <x:v>4</x:v>
      </x:c>
    </x:row>
    <x:row r="248">
      <x:c r="A248" s="9" t="str">
        <x:v>M20</x:v>
      </x:c>
      <x:c r="B248" s="9" t="str">
        <x:v>3/8</x:v>
      </x:c>
      <x:c r="C248" s="9" t="str">
        <x:v>Disney/Springfield</x:v>
      </x:c>
      <x:c r="D248" s="9" t="str">
        <x:v>Wohnzimmer der Simpsons</x:v>
      </x:c>
      <x:c r="E248" s="9" t="str">
        <x:v>5009325</x:v>
      </x:c>
      <x:c r="F248" s="9" t="n">
        <x:v>1</x:v>
      </x:c>
      <x:c r="G248" s="9" t="n">
        <x:v>1</x:v>
      </x:c>
      <x:c r="H248" s="9"/>
      <x:c r="I248" s="9"/>
      <x:c r="J248" s="9"/>
      <x:c r="K248" s="43" t="n">
        <x:v>0.035</x:v>
      </x:c>
      <x:c r="L248" s="9" t="str">
        <x:v>SW</x:v>
      </x:c>
      <x:c r="M248" s="9" t="str"/>
      <x:c r="N248" s="9" t="n">
        <x:v>4</x:v>
      </x:c>
    </x:row>
  </x:sheetData>
  <x:mergeCells>
    <x:mergeCell ref="A1:N1"/>
  </x:mergeCells>
  <x:conditionalFormatting sqref="C4:C248">
    <x:cfRule type="expression" dxfId="3" priority="1">
      <x:formula>C4="Weihnachtsdorf"</x:formula>
    </x:cfRule>
    <x:cfRule type="expression" dxfId="4" priority="2">
      <x:formula>C4="Hogwarts"</x:formula>
    </x:cfRule>
    <x:cfRule type="expression" dxfId="5" priority="3">
      <x:formula>C4="Hafen/Piraten"</x:formula>
    </x:cfRule>
    <x:cfRule type="expression" dxfId="6" priority="4">
      <x:formula>C4="Innenstadt"</x:formula>
    </x:cfRule>
    <x:cfRule type="expression" dxfId="7" priority="5">
      <x:formula>C4="Weltpark"</x:formula>
    </x:cfRule>
    <x:cfRule type="expression" dxfId="8" priority="6">
      <x:formula>C4="Disney/Springfield"</x:formula>
    </x:cfRule>
    <x:cfRule type="expression" dxfId="9" priority="7">
      <x:formula>C4="Botanik/Technik"</x:formula>
    </x:cfRule>
    <x:cfRule type="expression" dxfId="10" priority="8">
      <x:formula>C4="Bahn"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8" hidden="0" customWidth="1"/>
    <x:col min="4" max="4" width="62" hidden="0" customWidth="1"/>
    <x:col min="5" max="5" width="28" hidden="0" customWidth="1"/>
    <x:col min="6" max="6" width="42" hidden="0" customWidth="1"/>
  </x:cols>
  <x:sheetData>
    <x:row r="1">
      <x:c r="A1" s="141" t="str">
        <x:v>Empfohlene Bau-Reihenfolge</x:v>
      </x:c>
      <x:c r="B1" s="141"/>
      <x:c r="C1" s="141"/>
      <x:c r="D1" s="141"/>
      <x:c r="E1" s="141"/>
      <x:c r="F1" s="141"/>
    </x:row>
    <x:row r="3">
      <x:c r="A3" s="145" t="str">
        <x:v>Phase</x:v>
      </x:c>
      <x:c r="B3" s="145" t="str">
        <x:v>Schwerpunkt</x:v>
      </x:c>
      <x:c r="C3" s="145" t="str">
        <x:v>Module</x:v>
      </x:c>
      <x:c r="D3" s="145" t="str">
        <x:v>Was zuerst gebaut wird</x:v>
      </x:c>
      <x:c r="E3" s="145" t="str">
        <x:v>Ziel</x:v>
      </x:c>
      <x:c r="F3" s="145" t="str">
        <x:v>Hinweis</x:v>
      </x:c>
    </x:row>
    <x:row r="4">
      <x:c r="A4" s="9" t="n">
        <x:v>1</x:v>
      </x:c>
      <x:c r="B4" s="9" t="str">
        <x:v>Unterbau &amp; Infrastruktur</x:v>
      </x:c>
      <x:c r="C4" s="9" t="str">
        <x:v>alle</x:v>
      </x:c>
      <x:c r="D4" s="9" t="str">
        <x:v>Tische/Platten, Baseplates, Straßenplatten, Hauptgleis</x:v>
      </x:c>
      <x:c r="E4" s="9" t="str">
        <x:v>stabiles Raster</x:v>
      </x:c>
      <x:c r="F4" s="9" t="str">
        <x:v>Zugänge und Kabelkanäle vor Bebauung festlegen</x:v>
      </x:c>
    </x:row>
    <x:row r="5">
      <x:c r="A5" s="9" t="n">
        <x:v>2</x:v>
      </x:c>
      <x:c r="B5" s="9" t="str">
        <x:v>Bahn, Hafen &amp; Wasser</x:v>
      </x:c>
      <x:c r="C5" s="9" t="str">
        <x:v>M12 sowie M17/M18/M21/M22/M25/M33</x:v>
      </x:c>
      <x:c r="D5" s="9" t="str">
        <x:v>Hauptbahnhof, Gleisring, Kai, Meer, Eldorado-Festung, Leuchtturm</x:v>
      </x:c>
      <x:c r="E5" s="9" t="str">
        <x:v>Verkehrsachsen fixieren</x:v>
      </x:c>
      <x:c r="F5" s="9" t="str">
        <x:v>Gleisradien zuerst testen</x:v>
      </x:c>
    </x:row>
    <x:row r="6">
      <x:c r="A6" s="9" t="n">
        <x:v>3</x:v>
      </x:c>
      <x:c r="B6" s="9" t="str">
        <x:v>Innenstadt &amp; Weihnachtsdorf</x:v>
      </x:c>
      <x:c r="C6" s="9" t="str">
        <x:v>M01–M11, M26–M28, M34–M36</x:v>
      </x:c>
      <x:c r="D6" s="9" t="str">
        <x:v>Modular Buildings, Winter Village, Plätze und Straßen</x:v>
      </x:c>
      <x:c r="E6" s="9" t="str">
        <x:v>Kernstadt fertigstellen</x:v>
      </x:c>
      <x:c r="F6" s="9" t="str">
        <x:v>große Landmarken zuerst</x:v>
      </x:c>
    </x:row>
    <x:row r="7">
      <x:c r="A7" s="9" t="n">
        <x:v>4</x:v>
      </x:c>
      <x:c r="B7" s="9" t="str">
        <x:v>Themenviertel</x:v>
      </x:c>
      <x:c r="C7" s="9" t="str">
        <x:v>M05–M08, M13–M16, M19–M24</x:v>
      </x:c>
      <x:c r="D7" s="9" t="str">
        <x:v>Hogwarts, Winkelgasse, Disney, Springfield</x:v>
      </x:c>
      <x:c r="E7" s="9" t="str">
        <x:v>Themenwelten schließen</x:v>
      </x:c>
      <x:c r="F7" s="9" t="str">
        <x:v>Übergänge mit Grün/Plätzen kaschieren</x:v>
      </x:c>
    </x:row>
    <x:row r="8">
      <x:c r="A8" s="9" t="n">
        <x:v>5</x:v>
      </x:c>
      <x:c r="B8" s="9" t="str">
        <x:v>Weltpark &amp; Ausstellung</x:v>
      </x:c>
      <x:c r="C8" s="9" t="str">
        <x:v>M29–M32, M37–M40</x:v>
      </x:c>
      <x:c r="D8" s="9" t="str">
        <x:v>Architecture, Botanik, Technik, Ideas/Display</x:v>
      </x:c>
      <x:c r="E8" s="9" t="str">
        <x:v>Restbestand integrieren</x:v>
      </x:c>
      <x:c r="F8" s="9" t="str">
        <x:v>Höhenstaffelung nutzen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3" max="3" width="12" hidden="0" customWidth="1"/>
  </x:cols>
  <x:sheetData>
    <x:row r="1">
      <x:c r="A1" s="150" t="str">
        <x:v>Detaillierter Gleisplan – Konzept für die LEGO-Stadt</x:v>
      </x:c>
      <x:c r="B1" s="150"/>
      <x:c r="C1" s="150"/>
      <x:c r="D1" s="150"/>
      <x:c r="E1" s="150"/>
      <x:c r="F1" s="150"/>
      <x:c r="G1" s="150"/>
      <x:c r="H1" s="150"/>
      <x:c r="I1" s="150"/>
    </x:row>
    <x:row r="3">
      <x:c r="A3" s="153" t="str">
        <x:v>Planungsaspekt</x:v>
      </x:c>
      <x:c r="B3" s="153" t="str">
        <x:v>Beschreibung</x:v>
      </x:c>
      <x:c r="D3" s="153" t="str">
        <x:v>Element</x:v>
      </x:c>
      <x:c r="E3" s="153" t="str">
        <x:v>Vorhanden (sicher)</x:v>
      </x:c>
      <x:c r="F3" s="153" t="str">
        <x:v>Empfohlen für Konzept</x:v>
      </x:c>
      <x:c r="G3" s="153" t="str">
        <x:v>Differenz</x:v>
      </x:c>
      <x:c r="H3" s="153" t="str">
        <x:v>Hinweis</x:v>
      </x:c>
    </x:row>
    <x:row r="4">
      <x:c r="A4" s="9" t="str">
        <x:v>Grundidee</x:v>
      </x:c>
      <x:c r="B4" s="9" t="str">
        <x:v>Ein großer Haupt-Rundkurs verläuft um den zentralen Bediengang. So können zwei Themenzüge sichtbar durch mehrere Stadtbereiche fahren.</x:v>
      </x:c>
      <x:c r="D4" s="9" t="str">
        <x:v>Gerade Schienen</x:v>
      </x:c>
      <x:c r="E4" s="9" t="n">
        <x:v>20</x:v>
      </x:c>
      <x:c r="F4" s="9" t="n">
        <x:v>42</x:v>
      </x:c>
      <x:c r="G4" s="9" t="n">
        <x:v>22</x:v>
      </x:c>
      <x:c r="H4" s="9" t="str">
        <x:v>Für Hauptstrecke, Bahnhof und Hafenanschluss</x:v>
      </x:c>
    </x:row>
    <x:row r="5">
      <x:c r="A5" s="9" t="str">
        <x:v>Hauptbahnhof</x:v>
      </x:c>
      <x:c r="B5" s="9" t="str">
        <x:v>Modul M12 (Raster 2/4) – Übergang Weihnachtsdorf / Hogwarts. Hier treffen Hauptstrecke, Winter-Zug-Abzweig und eventueller Hafenanschluss zusammen.</x:v>
      </x:c>
      <x:c r="D5" s="9" t="str">
        <x:v>Kurvenschienen</x:v>
      </x:c>
      <x:c r="E5" s="9" t="n">
        <x:v>36</x:v>
      </x:c>
      <x:c r="F5" s="9" t="n">
        <x:v>48</x:v>
      </x:c>
      <x:c r="G5" s="9" t="n">
        <x:v>12</x:v>
      </x:c>
      <x:c r="H5" s="9" t="str">
        <x:v>Für großen Rundkurs und flüssige Bögen</x:v>
      </x:c>
    </x:row>
    <x:row r="6">
      <x:c r="A6" s="9" t="str">
        <x:v>Nebenstrecke</x:v>
      </x:c>
      <x:c r="B6" s="9" t="str">
        <x:v>Kurzer Abzweig Richtung Hafen/Piratenbereich für Güter- oder Ausstellungszug.</x:v>
      </x:c>
      <x:c r="D6" s="9" t="str">
        <x:v>Weichen links</x:v>
      </x:c>
      <x:c r="E6" s="9" t="n">
        <x:v>1</x:v>
      </x:c>
      <x:c r="F6" s="9" t="n">
        <x:v>2</x:v>
      </x:c>
      <x:c r="G6" s="9" t="n">
        <x:v>1</x:v>
      </x:c>
      <x:c r="H6" s="9" t="str">
        <x:v>Bahnhof / Abzweig</x:v>
      </x:c>
    </x:row>
    <x:row r="7">
      <x:c r="A7" s="9" t="str">
        <x:v>Winter-Anschluss</x:v>
      </x:c>
      <x:c r="B7" s="9" t="str">
        <x:v>Der festliche Weihnachtszug 10254 wird im Bereich Weihnachtsdorf / Bahnhof positioniert und kann auf der Hauptstrecke oder einer kurzen separaten Runde eingesetzt werden.</x:v>
      </x:c>
      <x:c r="D7" s="9" t="str">
        <x:v>Weichen rechts</x:v>
      </x:c>
      <x:c r="E7" s="9" t="n">
        <x:v>1</x:v>
      </x:c>
      <x:c r="F7" s="9" t="n">
        <x:v>2</x:v>
      </x:c>
      <x:c r="G7" s="9" t="n">
        <x:v>1</x:v>
      </x:c>
      <x:c r="H7" s="9" t="str">
        <x:v>Bahnhof / Abzweig</x:v>
      </x:c>
    </x:row>
    <x:row r="8">
      <x:c r="A8" s="9" t="str">
        <x:v>Zugbetrieb</x:v>
      </x:c>
      <x:c r="B8" s="9" t="str">
        <x:v>Zug 1: 60051 Hochgeschwindigkeitszug. Zug 2: 10254 Festlicher Weihnachtszug. 21344 Orient Express ideal als Ausstellungszug am Bahnhof oder auf einem separaten Gleisabschnitt.</x:v>
      </x:c>
      <x:c r="D8" s="9" t="str">
        <x:v>Flexible Schienen</x:v>
      </x:c>
      <x:c r="E8" s="9" t="n">
        <x:v>8</x:v>
      </x:c>
      <x:c r="F8" s="9" t="n">
        <x:v>8</x:v>
      </x:c>
      <x:c r="G8" s="9" t="n">
        <x:v>0</x:v>
      </x:c>
      <x:c r="H8" s="9" t="str">
        <x:v>Optional für Feinanpassungen</x:v>
      </x:c>
    </x:row>
    <x:row r="9">
      <x:c r="A9" s="9" t="str">
        <x:v>Gleis-Standard</x:v>
      </x:c>
      <x:c r="B9" s="9" t="str">
        <x:v>Geplant ist LEGO-Systemspur mit normalen City-/Creator-Schienen.</x:v>
      </x:c>
      <x:c r="D9" s="9" t="str">
        <x:v>Prellböcke / Deko-Enden</x:v>
      </x:c>
      <x:c r="E9" s="9" t="n">
        <x:v>0</x:v>
      </x:c>
      <x:c r="F9" s="9" t="n">
        <x:v>2</x:v>
      </x:c>
      <x:c r="G9" s="9" t="n">
        <x:v>2</x:v>
      </x:c>
      <x:c r="H9" s="9" t="str">
        <x:v>Optional für Abstellgleise</x:v>
      </x:c>
    </x:row>
    <x:row r="10">
      <x:c r="A10" s="9" t="str">
        <x:v>Wichtiger Hinweis</x:v>
      </x:c>
      <x:c r="B10" s="9" t="str">
        <x:v>Die Stückliste unten ist eine belastbare Konzeptplanung für diese Stadtgröße, kein aus Software abgeleiteter Millimeter-Plan. Für den finalen Aufbau solltest du die Trassen vor Ort mit echten Schienen testweise auslegen.</x:v>
      </x:c>
      <x:c r="D10" s="9" t="str">
        <x:v>Zusatzempfehlung</x:v>
      </x:c>
      <x:c r="E10" s="9" t="str"/>
      <x:c r="F10" s="9" t="str"/>
      <x:c r="G10" s="9" t="str"/>
      <x:c r="H10" s="9" t="str">
        <x:v>1× zusätzliches Geradenset + 1× zusätzliches Weichenset sind sehr sinnvoll</x:v>
      </x:c>
    </x:row>
    <x:row r="11">
      <x:c r="D11" s="9"/>
      <x:c r="E11" s="9"/>
      <x:c r="F11" s="9"/>
      <x:c r="G11" s="9"/>
      <x:c r="H11" s="9"/>
    </x:row>
    <x:row r="13">
      <x:c r="A13" s="153" t="str">
        <x:v>Abschnitt</x:v>
      </x:c>
      <x:c r="B13" s="153" t="str">
        <x:v>Verlauf</x:v>
      </x:c>
      <x:c r="C13" s="153" t="str">
        <x:v>Module</x:v>
      </x:c>
      <x:c r="D13" s="153" t="str">
        <x:v>Geschätzter Bedarf</x:v>
      </x:c>
      <x:c r="E13" s="153" t="str">
        <x:v>Einsatz</x:v>
      </x:c>
      <x:c r="F13" s="153"/>
      <x:c r="G13" s="153"/>
      <x:c r="H13" s="153"/>
      <x:c r="I13" s="153"/>
    </x:row>
    <x:row r="14">
      <x:c r="A14" s="9" t="str">
        <x:v>1. Hauptbogen Nord</x:v>
      </x:c>
      <x:c r="B14" s="9" t="str">
        <x:v>oberer Bogen am Weihnachtsdorf / Hogwarts</x:v>
      </x:c>
      <x:c r="C14" s="9" t="str">
        <x:v>M01–M08 / M12</x:v>
      </x:c>
      <x:c r="D14" s="9" t="str">
        <x:v>16 Kurven + 6 Geraden</x:v>
      </x:c>
      <x:c r="E14" s="9" t="str">
        <x:v>sichtbare Hauptstrecke</x:v>
      </x:c>
      <x:c r="F14" s="9"/>
      <x:c r="G14" s="9"/>
      <x:c r="H14" s="9"/>
      <x:c r="I14" s="9"/>
    </x:row>
    <x:row r="15">
      <x:c r="A15" s="9" t="str">
        <x:v>2. Hauptbogen Süd</x:v>
      </x:c>
      <x:c r="B15" s="9" t="str">
        <x:v>unterer Bogen an Innenstadt / Weltpark</x:v>
      </x:c>
      <x:c r="C15" s="9" t="str">
        <x:v>M26–M40</x:v>
      </x:c>
      <x:c r="D15" s="9" t="str">
        <x:v>16 Kurven + 8 Geraden</x:v>
      </x:c>
      <x:c r="E15" s="9" t="str">
        <x:v>sichtbare Hauptstrecke</x:v>
      </x:c>
      <x:c r="F15" s="9"/>
      <x:c r="G15" s="9"/>
      <x:c r="H15" s="9"/>
      <x:c r="I15" s="9"/>
    </x:row>
    <x:row r="16">
      <x:c r="A16" s="9" t="str">
        <x:v>3. Längsseiten</x:v>
      </x:c>
      <x:c r="B16" s="9" t="str">
        <x:v>westliche und östliche Geraden</x:v>
      </x:c>
      <x:c r="C16" s="9" t="str">
        <x:v>M17–M25 / M19–M24</x:v>
      </x:c>
      <x:c r="D16" s="9" t="str">
        <x:v>12 Geraden</x:v>
      </x:c>
      <x:c r="E16" s="9" t="str">
        <x:v>Verbindung Nord/Süd</x:v>
      </x:c>
      <x:c r="F16" s="9"/>
      <x:c r="G16" s="9"/>
      <x:c r="H16" s="9"/>
      <x:c r="I16" s="9"/>
    </x:row>
    <x:row r="17">
      <x:c r="A17" s="9" t="str">
        <x:v>4. Bahnhof</x:v>
      </x:c>
      <x:c r="B17" s="9" t="str">
        <x:v>Bahnsteig- und Überholabschnitt</x:v>
      </x:c>
      <x:c r="C17" s="9" t="str">
        <x:v>M12</x:v>
      </x:c>
      <x:c r="D17" s="9" t="str">
        <x:v>8 Geraden + 2 Weichen</x:v>
      </x:c>
      <x:c r="E17" s="9" t="str">
        <x:v>Halt und Ausweichgleis</x:v>
      </x:c>
      <x:c r="F17" s="9"/>
      <x:c r="G17" s="9"/>
      <x:c r="H17" s="9"/>
      <x:c r="I17" s="9"/>
    </x:row>
    <x:row r="18">
      <x:c r="A18" s="9" t="str">
        <x:v>5. Hafenanschluss</x:v>
      </x:c>
      <x:c r="B18" s="9" t="str">
        <x:v>kurzer Abzweig nach Westen</x:v>
      </x:c>
      <x:c r="C18" s="9" t="str">
        <x:v>M17/M21/M25</x:v>
      </x:c>
      <x:c r="D18" s="9" t="str">
        <x:v>4 Geraden + 2 Weichen</x:v>
      </x:c>
      <x:c r="E18" s="9" t="str">
        <x:v>Kai / Güteranschluss</x:v>
      </x:c>
      <x:c r="F18" s="9"/>
      <x:c r="G18" s="9"/>
      <x:c r="H18" s="9"/>
      <x:c r="I18" s="9"/>
    </x:row>
    <x:row r="19">
      <x:c r="A19" s="9" t="str">
        <x:v>6. Winter-Zug-Zone</x:v>
      </x:c>
      <x:c r="B19" s="9" t="str">
        <x:v>kurze Rangier- bzw. Präsentationsstrecke</x:v>
      </x:c>
      <x:c r="C19" s="9" t="str">
        <x:v>M02–M11</x:v>
      </x:c>
      <x:c r="D19" s="9" t="str">
        <x:v>4 Geraden</x:v>
      </x:c>
      <x:c r="E19" s="9" t="str">
        <x:v>Weihnachtszug / Ausstellung</x:v>
      </x:c>
      <x:c r="F19" s="9"/>
      <x:c r="G19" s="9"/>
      <x:c r="H19" s="9"/>
      <x:c r="I19" s="9"/>
    </x:row>
    <x:row r="20">
      <x:c r="A20" s="9" t="str">
        <x:v>7. Feinanpassung</x:v>
      </x:c>
      <x:c r="B20" s="9" t="str">
        <x:v>Übergänge / Anschlüsse</x:v>
      </x:c>
      <x:c r="C20" s="9" t="str">
        <x:v>mehrere</x:v>
      </x:c>
      <x:c r="D20" s="9" t="str">
        <x:v>8 Flexgleise</x:v>
      </x:c>
      <x:c r="E20" s="9" t="str">
        <x:v>optische Korrektur</x:v>
      </x:c>
      <x:c r="F20" s="9"/>
      <x:c r="G20" s="9"/>
      <x:c r="H20" s="9"/>
      <x:c r="I20" s="9"/>
    </x:row>
    <x:row r="23">
      <x:c r="A23" s="152" t="str">
        <x:v>Schematische Sicht</x:v>
      </x:c>
      <x:c r="B23" s="152" t="str"/>
      <x:c r="C23" s="152" t="str"/>
      <x:c r="D23" s="152" t="str"/>
      <x:c r="E23" s="152" t="str"/>
      <x:c r="F23" s="152" t="str"/>
      <x:c r="G23" s="152" t="str"/>
      <x:c r="H23" s="152" t="str"/>
      <x:c r="I23" s="152" t="str"/>
    </x:row>
    <x:row r="24" ht="32" customHeight="1">
      <x:c r="A24" s="155" t="str"/>
      <x:c r="B24" s="155" t="str">
        <x:v>╔</x:v>
      </x:c>
      <x:c r="C24" s="155" t="str">
        <x:v>═</x:v>
      </x:c>
      <x:c r="D24" s="155" t="str">
        <x:v>═</x:v>
      </x:c>
      <x:c r="E24" s="155" t="str">
        <x:v>═</x:v>
      </x:c>
      <x:c r="F24" s="155" t="str">
        <x:v>═</x:v>
      </x:c>
      <x:c r="G24" s="155" t="str">
        <x:v>═</x:v>
      </x:c>
      <x:c r="H24" s="155" t="str">
        <x:v>╗</x:v>
      </x:c>
      <x:c r="I24" s="155" t="str"/>
    </x:row>
    <x:row r="25" ht="32" customHeight="1">
      <x:c r="A25" s="155" t="str"/>
      <x:c r="B25" s="155" t="str">
        <x:v>║</x:v>
      </x:c>
      <x:c r="C25" s="155" t="str">
        <x:v>W</x:v>
      </x:c>
      <x:c r="D25" s="155" t="str">
        <x:v>W</x:v>
      </x:c>
      <x:c r="E25" s="155" t="str">
        <x:v>BH</x:v>
      </x:c>
      <x:c r="F25" s="155" t="str">
        <x:v>H</x:v>
      </x:c>
      <x:c r="G25" s="155" t="str">
        <x:v>H</x:v>
      </x:c>
      <x:c r="H25" s="155" t="str">
        <x:v>║</x:v>
      </x:c>
      <x:c r="I25" s="155" t="str"/>
    </x:row>
    <x:row r="26" ht="32" customHeight="1">
      <x:c r="A26" s="155" t="str"/>
      <x:c r="B26" s="155" t="str">
        <x:v>║</x:v>
      </x:c>
      <x:c r="C26" s="155" t="str">
        <x:v>P</x:v>
      </x:c>
      <x:c r="D26" s="155" t="str">
        <x:v>┌</x:v>
      </x:c>
      <x:c r="E26" s="155" t="str">
        <x:v>X</x:v>
      </x:c>
      <x:c r="F26" s="155" t="str">
        <x:v>X</x:v>
      </x:c>
      <x:c r="G26" s="155" t="str">
        <x:v>D</x:v>
      </x:c>
      <x:c r="H26" s="155" t="str">
        <x:v>║</x:v>
      </x:c>
      <x:c r="I26" s="155" t="str"/>
    </x:row>
    <x:row r="27" ht="32" customHeight="1">
      <x:c r="A27" s="155" t="str"/>
      <x:c r="B27" s="155" t="str">
        <x:v>║</x:v>
      </x:c>
      <x:c r="C27" s="155" t="str">
        <x:v>P</x:v>
      </x:c>
      <x:c r="D27" s="155" t="str">
        <x:v>└</x:v>
      </x:c>
      <x:c r="E27" s="155" t="str">
        <x:v>X</x:v>
      </x:c>
      <x:c r="F27" s="155" t="str">
        <x:v>X</x:v>
      </x:c>
      <x:c r="G27" s="155" t="str">
        <x:v>D</x:v>
      </x:c>
      <x:c r="H27" s="155" t="str">
        <x:v>║</x:v>
      </x:c>
      <x:c r="I27" s="155" t="str"/>
    </x:row>
    <x:row r="28" ht="32" customHeight="1">
      <x:c r="A28" s="155" t="str"/>
      <x:c r="B28" s="155" t="str">
        <x:v>║</x:v>
      </x:c>
      <x:c r="C28" s="155" t="str">
        <x:v>I</x:v>
      </x:c>
      <x:c r="D28" s="155" t="str">
        <x:v>I</x:v>
      </x:c>
      <x:c r="E28" s="155" t="str">
        <x:v>I</x:v>
      </x:c>
      <x:c r="F28" s="155" t="str">
        <x:v>A</x:v>
      </x:c>
      <x:c r="G28" s="155" t="str">
        <x:v>B</x:v>
      </x:c>
      <x:c r="H28" s="155" t="str">
        <x:v>║</x:v>
      </x:c>
      <x:c r="I28" s="155" t="str"/>
    </x:row>
    <x:row r="29" ht="32" customHeight="1">
      <x:c r="A29" s="155" t="str"/>
      <x:c r="B29" s="155" t="str">
        <x:v>╚</x:v>
      </x:c>
      <x:c r="C29" s="155" t="str">
        <x:v>═</x:v>
      </x:c>
      <x:c r="D29" s="155" t="str">
        <x:v>═</x:v>
      </x:c>
      <x:c r="E29" s="155" t="str">
        <x:v>═</x:v>
      </x:c>
      <x:c r="F29" s="155" t="str">
        <x:v>═</x:v>
      </x:c>
      <x:c r="G29" s="155" t="str">
        <x:v>═</x:v>
      </x:c>
      <x:c r="H29" s="155" t="str">
        <x:v>╝</x:v>
      </x:c>
      <x:c r="I29" s="155" t="str"/>
    </x:row>
    <x:row r="30">
      <x:c r="A30" s="155" t="str"/>
      <x:c r="B30" s="155" t="str">
        <x:v>Legende:</x:v>
      </x:c>
      <x:c r="C30" s="155" t="str">
        <x:v>W</x:v>
      </x:c>
      <x:c r="D30" s="155" t="str">
        <x:v>Weihnachtsdorf</x:v>
      </x:c>
      <x:c r="E30" s="155" t="str">
        <x:v>BH</x:v>
      </x:c>
      <x:c r="F30" s="155" t="str">
        <x:v>Hauptbahnhof</x:v>
      </x:c>
      <x:c r="G30" s="155" t="str">
        <x:v>P/I/H/A/B/D</x:v>
      </x:c>
      <x:c r="H30" s="155" t="str">
        <x:v>Themenbereiche</x:v>
      </x:c>
      <x:c r="I30" s="155" t="str"/>
    </x:row>
  </x:sheetData>
  <x:mergeCells>
    <x:mergeCell ref="A1:I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1" hidden="0" customWidth="1"/>
    <x:col min="4" max="4" width="16" hidden="0" customWidth="1"/>
    <x:col min="5" max="5" width="48" hidden="0" customWidth="1"/>
    <x:col min="6" max="6" width="14" hidden="0" customWidth="1"/>
    <x:col min="7" max="7" width="20" hidden="0" customWidth="1"/>
    <x:col min="8" max="8" width="12" hidden="0" customWidth="1"/>
    <x:col min="9" max="9" width="12" hidden="0" customWidth="1"/>
    <x:col min="10" max="10" width="12" hidden="0" customWidth="1"/>
    <x:col min="11" max="11" width="30" hidden="0" customWidth="1"/>
    <x:col min="12" max="12" width="48" hidden="0" customWidth="1"/>
    <x:col min="13" max="13" width="48" hidden="0" customWidth="1"/>
  </x:cols>
  <x:sheetData>
    <x:row r="1">
      <x:c r="A1" s="159" t="str">
        <x:v>Fehlende Sets / Wunschliste zur 3D-Stadt</x:v>
      </x:c>
      <x:c r="B1" s="159"/>
      <x:c r="C1" s="159"/>
      <x:c r="D1" s="159"/>
      <x:c r="E1" s="159"/>
      <x:c r="F1" s="159"/>
      <x:c r="G1" s="159"/>
      <x:c r="H1" s="159"/>
      <x:c r="I1" s="159"/>
      <x:c r="J1" s="159"/>
      <x:c r="K1" s="159"/>
      <x:c r="L1" s="159"/>
      <x:c r="M1" s="159"/>
    </x:row>
    <x:row r="3">
      <x:c r="A3" s="162" t="str">
        <x:v>Priorität</x:v>
      </x:c>
      <x:c r="B3" s="162" t="str">
        <x:v>Artikelnummer</x:v>
      </x:c>
      <x:c r="C3" s="162" t="str">
        <x:v>Setname</x:v>
      </x:c>
      <x:c r="D3" s="162" t="str">
        <x:v>Status</x:v>
      </x:c>
      <x:c r="E3" s="162" t="str">
        <x:v>Warum sinnvoll / Bildbezug</x:v>
      </x:c>
      <x:c r="F3" s="162" t="str">
        <x:v>UVP (€)</x:v>
      </x:c>
      <x:c r="G3" s="162" t="str">
        <x:v>Aktueller Richtpreis (€)</x:v>
      </x:c>
      <x:c r="H3" s="162" t="str">
        <x:v>Breite (cm)</x:v>
      </x:c>
      <x:c r="I3" s="162" t="str">
        <x:v>Tiefe (cm)</x:v>
      </x:c>
      <x:c r="J3" s="162" t="str">
        <x:v>Höhe (cm)</x:v>
      </x:c>
      <x:c r="K3" s="162" t="str">
        <x:v>Stadtbereich</x:v>
      </x:c>
      <x:c r="L3" s="162" t="str">
        <x:v>Quelle</x:v>
      </x:c>
      <x:c r="M3" s="162" t="str">
        <x:v>Hinweis</x:v>
      </x:c>
    </x:row>
    <x:row r="4">
      <x:c r="A4" s="9" t="str">
        <x:v>A</x:v>
      </x:c>
      <x:c r="B4" s="9" t="str">
        <x:v>71043</x:v>
      </x:c>
      <x:c r="C4" s="9" t="str">
        <x:v>Schloss Hogwarts</x:v>
      </x:c>
      <x:c r="D4" s="9" t="str">
        <x:v>Fehlt</x:v>
      </x:c>
      <x:c r="E4" s="9" t="str">
        <x:v>Großes Hogwarts im 3D-Bild; starker Blickfang für das magische Viertel</x:v>
      </x:c>
      <x:c r="F4" s="12" t="n">
        <x:v>469.99</x:v>
      </x:c>
      <x:c r="G4" s="12" t="n">
        <x:v>399.99</x:v>
      </x:c>
      <x:c r="H4" s="22" t="n">
        <x:v>69</x:v>
      </x:c>
      <x:c r="I4" s="22" t="n">
        <x:v>43</x:v>
      </x:c>
      <x:c r="J4" s="22" t="n">
        <x:v>58</x:v>
      </x:c>
      <x:c r="K4" s="9" t="str">
        <x:v>Magisches Viertel / Hogwarts</x:v>
      </x:c>
      <x:c r="L4" s="9" t="str">
        <x:v>https://www.lego.com/de-de/product/hogwarts-castle-71043</x:v>
      </x:c>
      <x:c r="M4" s="9" t="str">
        <x:v>Aktuell bei LEGO gelistet; großes Microscale-Schloss</x:v>
      </x:c>
    </x:row>
    <x:row r="5">
      <x:c r="A5" s="9" t="str">
        <x:v>A</x:v>
      </x:c>
      <x:c r="B5" s="9" t="str">
        <x:v>43222</x:v>
      </x:c>
      <x:c r="C5" s="9" t="str">
        <x:v>Disney Schloss</x:v>
      </x:c>
      <x:c r="D5" s="9" t="str">
        <x:v>Fehlt</x:v>
      </x:c>
      <x:c r="E5" s="9" t="str">
        <x:v>Großes Disney-Schloss rechts im 3D-Bild</x:v>
      </x:c>
      <x:c r="F5" s="12" t="n">
        <x:v>399.99</x:v>
      </x:c>
      <x:c r="G5" s="12"/>
      <x:c r="H5" s="22" t="n">
        <x:v>59</x:v>
      </x:c>
      <x:c r="I5" s="22" t="n">
        <x:v>33</x:v>
      </x:c>
      <x:c r="J5" s="22" t="n">
        <x:v>80</x:v>
      </x:c>
      <x:c r="K5" s="9" t="str">
        <x:v>Disney-/Freizeitpark-Viertel</x:v>
      </x:c>
      <x:c r="L5" s="9" t="str">
        <x:v>https://www.lego.com/de-de/product/disney-castle-43222</x:v>
      </x:c>
      <x:c r="M5" s="9" t="str">
        <x:v>Bei LEGO derzeit nicht auf Lager; 71040 wäre eine ältere Alternative</x:v>
      </x:c>
    </x:row>
    <x:row r="6">
      <x:c r="A6" s="9" t="str">
        <x:v>A</x:v>
      </x:c>
      <x:c r="B6" s="9" t="str">
        <x:v>10283</x:v>
      </x:c>
      <x:c r="C6" s="9" t="str">
        <x:v>NASA Space Shuttle Discovery</x:v>
      </x:c>
      <x:c r="D6" s="9" t="str">
        <x:v>Fehlt</x:v>
      </x:c>
      <x:c r="E6" s="9" t="str">
        <x:v>Großes Shuttle im Technik-/Weltparkbereich des 3D-Bildes</x:v>
      </x:c>
      <x:c r="F6" s="12" t="n">
        <x:v>179.99</x:v>
      </x:c>
      <x:c r="G6" s="12" t="n">
        <x:v>214.08</x:v>
      </x:c>
      <x:c r="H6" s="22" t="n">
        <x:v>54</x:v>
      </x:c>
      <x:c r="I6" s="22" t="n">
        <x:v>34</x:v>
      </x:c>
      <x:c r="J6" s="22" t="n">
        <x:v>21</x:v>
      </x:c>
      <x:c r="K6" s="9" t="str">
        <x:v>Technik- &amp; Raumfahrtmuseum</x:v>
      </x:c>
      <x:c r="L6" s="9" t="str">
        <x:v>https://www.lego.com/en-us/aboutus/news/2021/march/lego-nasa-discovery-space-shuttle</x:v>
      </x:c>
      <x:c r="M6" s="9" t="str">
        <x:v>Ausgelaufen; Marktpreis schwankt stark</x:v>
      </x:c>
    </x:row>
    <x:row r="7">
      <x:c r="A7" s="9" t="str">
        <x:v>A</x:v>
      </x:c>
      <x:c r="B7" s="9" t="str">
        <x:v>21322</x:v>
      </x:c>
      <x:c r="C7" s="9" t="str">
        <x:v>Piraten der Barracuda-Bucht</x:v>
      </x:c>
      <x:c r="D7" s="9" t="str">
        <x:v>Fehlt</x:v>
      </x:c>
      <x:c r="E7" s="9" t="str">
        <x:v>Großes Piratenschiff / Inselmotiv im Hafenbereich des 3D-Bildes</x:v>
      </x:c>
      <x:c r="F7" s="12" t="n">
        <x:v>199.99</x:v>
      </x:c>
      <x:c r="G7" s="12" t="n">
        <x:v>324.95</x:v>
      </x:c>
      <x:c r="H7" s="22" t="n">
        <x:v>64</x:v>
      </x:c>
      <x:c r="I7" s="22" t="n">
        <x:v>32</x:v>
      </x:c>
      <x:c r="J7" s="22" t="n">
        <x:v>59</x:v>
      </x:c>
      <x:c r="K7" s="9" t="str">
        <x:v>Hafen &amp; Küste</x:v>
      </x:c>
      <x:c r="L7" s="9" t="str">
        <x:v>https://www.lego.com/de-de/product/pirates-of-barracuda-bay-21322</x:v>
      </x:c>
      <x:c r="M7" s="9" t="str">
        <x:v>Ausgelaufen; lässt sich als Insel oder Piratenschiff darstellen</x:v>
      </x:c>
    </x:row>
    <x:row r="8">
      <x:c r="A8" s="9" t="str">
        <x:v>Alternative</x:v>
      </x:c>
      <x:c r="B8" s="9" t="str">
        <x:v>71040</x:v>
      </x:c>
      <x:c r="C8" s="9" t="str">
        <x:v>Das Disney Schloss</x:v>
      </x:c>
      <x:c r="D8" s="9" t="str">
        <x:v>Alternative</x:v>
      </x:c>
      <x:c r="E8" s="9" t="str">
        <x:v>Ältere Alternative zum Disney Schloss 43222; nur eines der beiden nötig</x:v>
      </x:c>
      <x:c r="F8" s="12"/>
      <x:c r="G8" s="12" t="n">
        <x:v>425.99</x:v>
      </x:c>
      <x:c r="H8" s="22"/>
      <x:c r="I8" s="22"/>
      <x:c r="J8" s="22"/>
      <x:c r="K8" s="9" t="str">
        <x:v>Disney-/Freizeitpark-Viertel</x:v>
      </x:c>
      <x:c r="L8" s="9" t="str">
        <x:v>https://www.lego.com/service/buildinginstructions/71040</x:v>
      </x:c>
      <x:c r="M8" s="9" t="str">
        <x:v>Nicht als Pflichtkauf zählen, wenn 43222 gewählt wird</x:v>
      </x:c>
    </x:row>
    <x:row r="9">
      <x:c r="A9" s="9" t="str">
        <x:v>MOC</x:v>
      </x:c>
      <x:c r="B9" s="9" t="str">
        <x:v>—</x:v>
      </x:c>
      <x:c r="C9" s="9" t="str">
        <x:v>Großer Hauptbahnhof</x:v>
      </x:c>
      <x:c r="D9" s="9" t="str">
        <x:v>Kein offizielles Set</x:v>
      </x:c>
      <x:c r="E9" s="9" t="str">
        <x:v>Der zentrale Bahnhof im 3D-Bild ist eine freie MOC-/Konzeptdarstellung</x:v>
      </x:c>
      <x:c r="F9" s="12"/>
      <x:c r="G9" s="12"/>
      <x:c r="H9" s="22"/>
      <x:c r="I9" s="22"/>
      <x:c r="J9" s="22"/>
      <x:c r="K9" s="9" t="str">
        <x:v>Bahn &amp; Bahnhof</x:v>
      </x:c>
      <x:c r="L9" s="9" t="str">
        <x:v>—</x:v>
      </x:c>
      <x:c r="M9" s="9" t="str">
        <x:v>Kein fehlendes LEGO-Set; kann aus eigenen Steinen/zusätzlichen Bahnhofsteilen gebaut werden</x:v>
      </x:c>
    </x:row>
    <x:row r="11">
      <x:c r="A11" s="172" t="str">
        <x:v>Hinweis</x:v>
      </x:c>
      <x:c r="B11" s="172"/>
      <x:c r="C11" s="172"/>
      <x:c r="D11" s="172"/>
      <x:c r="E11" s="172"/>
      <x:c r="F11" s="172"/>
      <x:c r="G11" s="172"/>
      <x:c r="H11" s="172"/>
      <x:c r="I11" s="172"/>
      <x:c r="J11" s="172"/>
      <x:c r="K11" s="172"/>
      <x:c r="L11" s="172"/>
      <x:c r="M11" s="172"/>
    </x:row>
    <x:row r="12">
      <x:c r="A12" s="9" t="str">
        <x:v>Die vollständige, priorisierte Einkaufsliste befindet sich im Blatt „Einkaufsliste“.</x:v>
      </x:c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</x:row>
    <x:row r="13">
      <x:c r="A13" s="9" t="str">
        <x:v>Beim Kauf eines Sets: Kaufstatus dort auf „Gekauft“ setzen und anschließend den Bestand in „LEGO Sammlung“ aktualisieren.</x:v>
      </x:c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</x:row>
  </x:sheetData>
  <x:mergeCells>
    <x:mergeCell ref="A1:M1"/>
  </x:mergeCells>
  <x:conditionalFormatting sqref="A4:A9">
    <x:cfRule type="expression" dxfId="14" priority="1">
      <x:formula>A4="A"</x:formula>
    </x:cfRule>
    <x:cfRule type="expression" dxfId="15" priority="2">
      <x:formula>A4="Alternative"</x:formula>
    </x:cfRule>
    <x:cfRule type="expression" dxfId="16" priority="3">
      <x:formula>A4="MOC"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0" hidden="0" customWidth="1"/>
  </x:cols>
  <x:sheetData>
    <x:row r="1">
      <x:c r="A1" s="158" t="str">
        <x:v>Neue Käufe in die Datenbank übernehmen</x:v>
      </x:c>
      <x:c r="B1" s="158"/>
      <x:c r="C1" s="158"/>
      <x:c r="D1" s="158"/>
      <x:c r="E1" s="158"/>
      <x:c r="F1" s="158"/>
    </x:row>
    <x:row r="3">
      <x:c r="A3" s="162" t="str">
        <x:v>Schritt</x:v>
      </x:c>
      <x:c r="B3" s="162" t="str">
        <x:v>Vorgehen</x:v>
      </x:c>
    </x:row>
    <x:row r="4">
      <x:c r="A4" s="9" t="str">
        <x:v>1</x:v>
      </x:c>
      <x:c r="B4" s="9" t="str">
        <x:v>LEGO Stadtmanager starten.</x:v>
      </x:c>
    </x:row>
    <x:row r="5">
      <x:c r="A5" s="9" t="str">
        <x:v>2</x:v>
      </x:c>
      <x:c r="B5" s="9" t="str">
        <x:v>Excel-Masterdatei auswählen oder die mitgelieferte Masterdatei verwenden.</x:v>
      </x:c>
    </x:row>
    <x:row r="6">
      <x:c r="A6" s="9" t="str">
        <x:v>3</x:v>
      </x:c>
      <x:c r="B6" s="9" t="str">
        <x:v>Setnummer, Name, Anzahl, Kaufpreis sowie optional Maße/Kategorie/Stadtbereich eingeben.</x:v>
      </x:c>
    </x:row>
    <x:row r="7">
      <x:c r="A7" s="9" t="str">
        <x:v>4</x:v>
      </x:c>
      <x:c r="B7" s="9" t="str">
        <x:v>Auf „Set speichern“ klicken. Existiert die Setnummer bereits, wird die Anzahl erhöht; andernfalls wird eine neue Zeile angelegt.</x:v>
      </x:c>
    </x:row>
    <x:row r="8">
      <x:c r="A8" s="9" t="str">
        <x:v>5</x:v>
      </x:c>
      <x:c r="B8" s="9" t="str">
        <x:v>Das Programm aktualisiert zusätzlich seine SQLite-Datenbank und die Excel-Datei.</x:v>
      </x:c>
    </x:row>
    <x:row r="9">
      <x:c r="A9" s="9" t="str">
        <x:v>6</x:v>
      </x:c>
      <x:c r="B9" s="9" t="str">
        <x:v>Über „Bestand exportieren“ kann jederzeit eine aktuelle Excel-Kopie erzeugt werden.</x:v>
      </x:c>
    </x:row>
    <x:row r="10">
      <x:c r="A10" s="9" t="str">
        <x:v>7</x:v>
      </x:c>
      <x:c r="B10" s="9" t="str">
        <x:v>Fehlende Maße oder Online-Preise können später über die Datenbank ergänzt werden.</x:v>
      </x:c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32" hidden="0" customWidth="1"/>
    <x:col min="4" max="4" width="14" hidden="0" customWidth="1"/>
    <x:col min="5" max="5" width="26" hidden="0" customWidth="1"/>
    <x:col min="6" max="6" width="48" hidden="0" customWidth="1"/>
    <x:col min="7" max="7" width="16" hidden="0" customWidth="1"/>
    <x:col min="8" max="8" width="19" hidden="0" customWidth="1"/>
    <x:col min="9" max="9" width="23" hidden="0" customWidth="1"/>
    <x:col min="10" max="10" width="12" hidden="0" customWidth="1"/>
    <x:col min="11" max="11" width="15" hidden="0" customWidth="1"/>
    <x:col min="12" max="12" width="12" hidden="0" customWidth="1"/>
    <x:col min="13" max="13" width="14" hidden="0" customWidth="1"/>
    <x:col min="14" max="14" width="18" hidden="0" customWidth="1"/>
    <x:col min="15" max="15" width="48" hidden="0" customWidth="1"/>
    <x:col min="16" max="16" width="14" hidden="0" customWidth="1"/>
    <x:col min="17" max="17" width="45" hidden="0" customWidth="1"/>
  </x:cols>
  <x:sheetData>
    <x:row r="1">
      <x:c r="A1" s="166" t="str">
        <x:v>Einkaufsliste – passende Ergänzungen zur Ursprungs-Stadt</x:v>
      </x:c>
      <x:c r="B1" s="166"/>
      <x:c r="C1" s="166"/>
      <x:c r="D1" s="166"/>
      <x:c r="E1" s="166"/>
      <x:c r="F1" s="166"/>
      <x:c r="G1" s="166"/>
      <x:c r="H1" s="166"/>
      <x:c r="I1" s="166"/>
      <x:c r="J1" s="166"/>
      <x:c r="K1" s="166"/>
      <x:c r="L1" s="166"/>
      <x:c r="M1" s="166"/>
      <x:c r="N1" s="166"/>
      <x:c r="O1" s="166"/>
      <x:c r="P1" s="166"/>
      <x:c r="Q1" s="166"/>
    </x:row>
    <x:row r="2">
      <x:c r="A2" s="169" t="str">
        <x:v>Nur Sets, die in der bestätigten Sammlung mit 166 eindeutigen Setnummern nicht vorhanden sind. A = starke Empfehlung, B = gute Ergänzung, C = optional.</x:v>
      </x:c>
      <x:c r="B2" s="169"/>
      <x:c r="C2" s="169"/>
      <x:c r="D2" s="169"/>
      <x:c r="E2" s="169"/>
      <x:c r="F2" s="169"/>
      <x:c r="G2" s="169"/>
      <x:c r="H2" s="169"/>
      <x:c r="I2" s="169"/>
      <x:c r="J2" s="169"/>
      <x:c r="K2" s="169"/>
      <x:c r="L2" s="169"/>
      <x:c r="M2" s="169"/>
      <x:c r="N2" s="169"/>
      <x:c r="O2" s="169"/>
      <x:c r="P2" s="169"/>
      <x:c r="Q2" s="169"/>
    </x:row>
    <x:row r="4">
      <x:c r="A4" s="174" t="str">
        <x:v>Priorität</x:v>
      </x:c>
      <x:c r="B4" s="174" t="str">
        <x:v>Artikelnummer</x:v>
      </x:c>
      <x:c r="C4" s="174" t="str">
        <x:v>Setname</x:v>
      </x:c>
      <x:c r="D4" s="174" t="str">
        <x:v>Status Bestand</x:v>
      </x:c>
      <x:c r="E4" s="174" t="str">
        <x:v>Stadtbereich</x:v>
      </x:c>
      <x:c r="F4" s="174" t="str">
        <x:v>Warum es passt</x:v>
      </x:c>
      <x:c r="G4" s="174" t="str">
        <x:v>LEGO Preis / UVP (€)</x:v>
      </x:c>
      <x:c r="H4" s="174" t="str">
        <x:v>Aktueller Richtpreis (€)</x:v>
      </x:c>
      <x:c r="I4" s="174" t="str">
        <x:v>Preisstatus</x:v>
      </x:c>
      <x:c r="J4" s="174" t="str">
        <x:v>Breite (cm)</x:v>
      </x:c>
      <x:c r="K4" s="174" t="str">
        <x:v>Tiefe/Länge (cm)</x:v>
      </x:c>
      <x:c r="L4" s="174" t="str">
        <x:v>Höhe (cm)</x:v>
      </x:c>
      <x:c r="M4" s="174" t="str">
        <x:v>Kaufstatus</x:v>
      </x:c>
      <x:c r="N4" s="174" t="str">
        <x:v>Budget geplant (€)</x:v>
      </x:c>
      <x:c r="O4" s="174" t="str">
        <x:v>Quelle</x:v>
      </x:c>
      <x:c r="P4" s="174" t="str">
        <x:v>Stand</x:v>
      </x:c>
      <x:c r="Q4" s="174" t="str">
        <x:v>Hinweis</x:v>
      </x:c>
    </x:row>
    <x:row r="5">
      <x:c r="A5" s="9" t="str">
        <x:v>A</x:v>
      </x:c>
      <x:c r="B5" s="9" t="str">
        <x:v>21322</x:v>
      </x:c>
      <x:c r="C5" s="9" t="str">
        <x:v>Piraten der Barracuda-Bucht</x:v>
      </x:c>
      <x:c r="D5" s="9" t="str">
        <x:v>Fehlt</x:v>
      </x:c>
      <x:c r="E5" s="9" t="str">
        <x:v>Hafen &amp; Piraten</x:v>
      </x:c>
      <x:c r="F5" s="9" t="str">
        <x:v>Stärkste Ergänzung für den großen Hafen: Insel/Schiffswrack und großes Piratenschiff in einem Set.</x:v>
      </x:c>
      <x:c r="G5" s="12" t="n">
        <x:v>199.99</x:v>
      </x:c>
      <x:c r="H5" s="12" t="n">
        <x:v>324.95</x:v>
      </x:c>
      <x:c r="I5" s="9" t="str">
        <x:v>Richtwert Gebrauchtmarkt</x:v>
      </x:c>
      <x:c r="J5" s="9" t="n">
        <x:v>64</x:v>
      </x:c>
      <x:c r="K5" s="9" t="n">
        <x:v>32</x:v>
      </x:c>
      <x:c r="L5" s="9" t="n">
        <x:v>59</x:v>
      </x:c>
      <x:c r="M5" s="9" t="str">
        <x:v>Offen</x:v>
      </x:c>
      <x:c r="N5" s="12"/>
      <x:c r="O5" s="9" t="str">
        <x:v>https://www.lego.com/de-de/product/pirates-of-barracuda-bay-21322</x:v>
      </x:c>
      <x:c r="P5" s="9" t="str">
        <x:v>06.10.2026</x:v>
      </x:c>
      <x:c r="Q5" s="9" t="str">
        <x:v>Ausgelaufen; Marktpreis schwankt. Passt sehr gut links in die Wasserzone.</x:v>
      </x:c>
    </x:row>
    <x:row r="6">
      <x:c r="A6" s="9" t="str">
        <x:v>A</x:v>
      </x:c>
      <x:c r="B6" s="9" t="str">
        <x:v>71043</x:v>
      </x:c>
      <x:c r="C6" s="9" t="str">
        <x:v>Schloss Hogwarts</x:v>
      </x:c>
      <x:c r="D6" s="9" t="str">
        <x:v>Fehlt</x:v>
      </x:c>
      <x:c r="E6" s="9" t="str">
        <x:v>Hogwarts</x:v>
      </x:c>
      <x:c r="F6" s="9" t="str">
        <x:v>Großer Hintergrund-Blickfang für den Hogwarts-Bereich; wesentlich größer als dein vorhandenes 76419.</x:v>
      </x:c>
      <x:c r="G6" s="12" t="n">
        <x:v>469.99</x:v>
      </x:c>
      <x:c r="H6" s="12" t="n">
        <x:v>399.99</x:v>
      </x:c>
      <x:c r="I6" s="9" t="str">
        <x:v>Richtwert Markt</x:v>
      </x:c>
      <x:c r="J6" s="9" t="n">
        <x:v>69</x:v>
      </x:c>
      <x:c r="K6" s="9" t="n">
        <x:v>43</x:v>
      </x:c>
      <x:c r="L6" s="9" t="n">
        <x:v>58</x:v>
      </x:c>
      <x:c r="M6" s="9" t="str">
        <x:v>Offen</x:v>
      </x:c>
      <x:c r="N6" s="12"/>
      <x:c r="O6" s="9" t="str">
        <x:v>https://www.lego.com/de-de/product/hogwarts-castle-71043</x:v>
      </x:c>
      <x:c r="P6" s="9" t="str">
        <x:v>06.10.2026</x:v>
      </x:c>
      <x:c r="Q6" s="9" t="str">
        <x:v>Microscale; ideal auf erhöhter Landschaft im hinteren rechten Bereich.</x:v>
      </x:c>
    </x:row>
    <x:row r="7">
      <x:c r="A7" s="9" t="str">
        <x:v>A</x:v>
      </x:c>
      <x:c r="B7" s="9" t="str">
        <x:v>43222</x:v>
      </x:c>
      <x:c r="C7" s="9" t="str">
        <x:v>Disney Schloss</x:v>
      </x:c>
      <x:c r="D7" s="9" t="str">
        <x:v>Fehlt</x:v>
      </x:c>
      <x:c r="E7" s="9" t="str">
        <x:v>Disney / Springfield</x:v>
      </x:c>
      <x:c r="F7" s="9" t="str">
        <x:v>Zentrales Disney-Wahrzeichen und starker Hochpunkt im rechten Stadtbereich.</x:v>
      </x:c>
      <x:c r="G7" s="12" t="n">
        <x:v>399.99</x:v>
      </x:c>
      <x:c r="H7" s="12"/>
      <x:c r="I7" s="9" t="str">
        <x:v>LEGO nicht auf Lager</x:v>
      </x:c>
      <x:c r="J7" s="9" t="n">
        <x:v>59</x:v>
      </x:c>
      <x:c r="K7" s="9" t="n">
        <x:v>33</x:v>
      </x:c>
      <x:c r="L7" s="9" t="n">
        <x:v>80</x:v>
      </x:c>
      <x:c r="M7" s="9" t="str">
        <x:v>Offen</x:v>
      </x:c>
      <x:c r="N7" s="12"/>
      <x:c r="O7" s="9" t="str">
        <x:v>https://www.lego.com/de-de/product/disney-castle-43222</x:v>
      </x:c>
      <x:c r="P7" s="9" t="str">
        <x:v>06.10.2026</x:v>
      </x:c>
      <x:c r="Q7" s="9" t="str">
        <x:v>Aktuellen Marktpreis vor Kauf prüfen.</x:v>
      </x:c>
    </x:row>
    <x:row r="8">
      <x:c r="A8" s="9" t="str">
        <x:v>A</x:v>
      </x:c>
      <x:c r="B8" s="9" t="str">
        <x:v>10283</x:v>
      </x:c>
      <x:c r="C8" s="9" t="str">
        <x:v>NASA Space Shuttle Discovery</x:v>
      </x:c>
      <x:c r="D8" s="9" t="str">
        <x:v>Fehlt</x:v>
      </x:c>
      <x:c r="E8" s="9" t="str">
        <x:v>Weltpark / Botanik</x:v>
      </x:c>
      <x:c r="F8" s="9" t="str">
        <x:v>Passt zum Technik-/Ausstellungsbereich und ergänzt die Raumfahrt-Szene.</x:v>
      </x:c>
      <x:c r="G8" s="12" t="n">
        <x:v>179.99</x:v>
      </x:c>
      <x:c r="H8" s="12" t="n">
        <x:v>214.08</x:v>
      </x:c>
      <x:c r="I8" s="9" t="str">
        <x:v>Richtwert Markt</x:v>
      </x:c>
      <x:c r="J8" s="9" t="n">
        <x:v>34</x:v>
      </x:c>
      <x:c r="K8" s="9" t="n">
        <x:v>54</x:v>
      </x:c>
      <x:c r="L8" s="9" t="n">
        <x:v>21</x:v>
      </x:c>
      <x:c r="M8" s="9" t="str">
        <x:v>Offen</x:v>
      </x:c>
      <x:c r="N8" s="12"/>
      <x:c r="O8" s="9" t="str">
        <x:v>https://www.lego.com/en-us/aboutus/news/2021/march/lego-nasa-discovery-space-shuttle</x:v>
      </x:c>
      <x:c r="P8" s="9" t="str">
        <x:v>06.10.2026</x:v>
      </x:c>
      <x:c r="Q8" s="9" t="str">
        <x:v>Ausgelaufen; als Museums-/Ausstellungsobjekt einplanen.</x:v>
      </x:c>
    </x:row>
    <x:row r="9">
      <x:c r="A9" s="9" t="str">
        <x:v>A</x:v>
      </x:c>
      <x:c r="B9" s="9" t="str">
        <x:v>60336</x:v>
      </x:c>
      <x:c r="C9" s="9" t="str">
        <x:v>Güterzug</x:v>
      </x:c>
      <x:c r="D9" s="9" t="str">
        <x:v>Fehlt</x:v>
      </x:c>
      <x:c r="E9" s="9" t="str">
        <x:v>Hauptbahnhof / Hafen</x:v>
      </x:c>
      <x:c r="F9" s="9" t="str">
        <x:v>Verbindet Bahnhof und Hafen logisch; bringt Güterverkehr, Container und Rangierbetrieb in die Stadt.</x:v>
      </x:c>
      <x:c r="G9" s="12"/>
      <x:c r="H9" s="12"/>
      <x:c r="I9" s="9" t="str">
        <x:v>Preis recherchieren</x:v>
      </x:c>
      <x:c r="J9" s="9"/>
      <x:c r="K9" s="9"/>
      <x:c r="L9" s="9"/>
      <x:c r="M9" s="9" t="str">
        <x:v>Offen</x:v>
      </x:c>
      <x:c r="N9" s="12"/>
      <x:c r="O9" s="9" t="str">
        <x:v>https://www.lego.com/de-de/search?q=60336</x:v>
      </x:c>
      <x:c r="P9" s="9" t="str">
        <x:v>06.10.2026</x:v>
      </x:c>
      <x:c r="Q9" s="9" t="str">
        <x:v>Sehr sinnvoll vor zusätzlichen Personen-Zügen.</x:v>
      </x:c>
    </x:row>
    <x:row r="10">
      <x:c r="A10" s="9" t="str">
        <x:v>B</x:v>
      </x:c>
      <x:c r="B10" s="9" t="str">
        <x:v>60337</x:v>
      </x:c>
      <x:c r="C10" s="9" t="str">
        <x:v>Personen-Schnellzug</x:v>
      </x:c>
      <x:c r="D10" s="9" t="str">
        <x:v>Fehlt</x:v>
      </x:c>
      <x:c r="E10" s="9" t="str">
        <x:v>Hauptbahnhof</x:v>
      </x:c>
      <x:c r="F10" s="9" t="str">
        <x:v>Zusätzlicher moderner Personenzug für Parallelbetrieb am großen Hauptbahnhof.</x:v>
      </x:c>
      <x:c r="G10" s="12" t="n">
        <x:v>159.99</x:v>
      </x:c>
      <x:c r="H10" s="12" t="n">
        <x:v>159.99</x:v>
      </x:c>
      <x:c r="I10" s="9" t="str">
        <x:v>LEGO aktuell / letzte Gelegenheit</x:v>
      </x:c>
      <x:c r="J10" s="9"/>
      <x:c r="K10" s="9"/>
      <x:c r="L10" s="9"/>
      <x:c r="M10" s="9" t="str">
        <x:v>Offen</x:v>
      </x:c>
      <x:c r="N10" s="12"/>
      <x:c r="O10" s="9" t="str">
        <x:v>https://www.lego.com/de-de/product/express-passenger-train-60337</x:v>
      </x:c>
      <x:c r="P10" s="9" t="str">
        <x:v>06.10.2026</x:v>
      </x:c>
      <x:c r="Q10" s="9" t="str">
        <x:v>Enthält 24 Schienensegmente; Powered Up.</x:v>
      </x:c>
    </x:row>
    <x:row r="11">
      <x:c r="A11" s="9" t="str">
        <x:v>A</x:v>
      </x:c>
      <x:c r="B11" s="9" t="str">
        <x:v>60422</x:v>
      </x:c>
      <x:c r="C11" s="9" t="str">
        <x:v>Hafen mit Frachtschiff</x:v>
      </x:c>
      <x:c r="D11" s="9" t="str">
        <x:v>Fehlt</x:v>
      </x:c>
      <x:c r="E11" s="9" t="str">
        <x:v>Hafen &amp; Piraten</x:v>
      </x:c>
      <x:c r="F11" s="9" t="str">
        <x:v>Sehr passende moderne Hafenergänzung mit Frachtschiff und Infrastruktur neben dem Piratenbereich.</x:v>
      </x:c>
      <x:c r="G11" s="12" t="n">
        <x:v>109.99</x:v>
      </x:c>
      <x:c r="H11" s="12" t="n">
        <x:v>109.99</x:v>
      </x:c>
      <x:c r="I11" s="9" t="str">
        <x:v>LEGO: ausverkauft</x:v>
      </x:c>
      <x:c r="J11" s="9"/>
      <x:c r="K11" s="9"/>
      <x:c r="L11" s="9"/>
      <x:c r="M11" s="9" t="str">
        <x:v>Offen</x:v>
      </x:c>
      <x:c r="N11" s="12"/>
      <x:c r="O11" s="9" t="str">
        <x:v>https://www.lego.com/de-de/product/seaside-harbor-with-cargo-ship-60422</x:v>
      </x:c>
      <x:c r="P11" s="9" t="str">
        <x:v>06.10.2026</x:v>
      </x:c>
      <x:c r="Q11" s="9" t="str">
        <x:v>Gute Verbindung zwischen historischem Piratenhafen und moderner Hafenlogistik.</x:v>
      </x:c>
    </x:row>
    <x:row r="12">
      <x:c r="A12" s="9" t="str">
        <x:v>B</x:v>
      </x:c>
      <x:c r="B12" s="9" t="str">
        <x:v>10318</x:v>
      </x:c>
      <x:c r="C12" s="9" t="str">
        <x:v>Concorde</x:v>
      </x:c>
      <x:c r="D12" s="9" t="str">
        <x:v>Fehlt</x:v>
      </x:c>
      <x:c r="E12" s="9" t="str">
        <x:v>Weltpark / Botanik</x:v>
      </x:c>
      <x:c r="F12" s="9" t="str">
        <x:v>Technik- und Verkehrsausstellung; starkes Schaustück für einen Museums-/Weltpark-Bereich.</x:v>
      </x:c>
      <x:c r="G12" s="12" t="n">
        <x:v>199.99</x:v>
      </x:c>
      <x:c r="H12" s="12" t="n">
        <x:v>199.99</x:v>
      </x:c>
      <x:c r="I12" s="9" t="str">
        <x:v>LEGO aktuell</x:v>
      </x:c>
      <x:c r="J12" s="9" t="n">
        <x:v>43</x:v>
      </x:c>
      <x:c r="K12" s="9" t="n">
        <x:v>105</x:v>
      </x:c>
      <x:c r="L12" s="9" t="n">
        <x:v>15</x:v>
      </x:c>
      <x:c r="M12" s="9" t="str">
        <x:v>Offen</x:v>
      </x:c>
      <x:c r="N12" s="12"/>
      <x:c r="O12" s="9" t="str">
        <x:v>https://www.lego.com/de-de/product/concorde-10318</x:v>
      </x:c>
      <x:c r="P12" s="9" t="str">
        <x:v>06.10.2026</x:v>
      </x:c>
      <x:c r="Q12" s="9" t="str">
        <x:v>Mit 105 cm Länge groß; nur kaufen, wenn eigener Ausstellungsstreifen vorgesehen ist.</x:v>
      </x:c>
    </x:row>
    <x:row r="13">
      <x:c r="A13" s="9" t="str">
        <x:v>B</x:v>
      </x:c>
      <x:c r="B13" s="9" t="str">
        <x:v>10341</x:v>
      </x:c>
      <x:c r="C13" s="9" t="str">
        <x:v>NASA Artemis Startrampe</x:v>
      </x:c>
      <x:c r="D13" s="9" t="str">
        <x:v>Fehlt</x:v>
      </x:c>
      <x:c r="E13" s="9" t="str">
        <x:v>Weltpark / Botanik</x:v>
      </x:c>
      <x:c r="F13" s="9" t="str">
        <x:v>Großes Raumfahrt-Exponat für den Technikbereich und gute Ergänzung zum Shuttle.</x:v>
      </x:c>
      <x:c r="G13" s="12" t="n">
        <x:v>259.99</x:v>
      </x:c>
      <x:c r="H13" s="12" t="n">
        <x:v>259.99</x:v>
      </x:c>
      <x:c r="I13" s="9" t="str">
        <x:v>LEGO aktuell</x:v>
      </x:c>
      <x:c r="J13" s="9"/>
      <x:c r="K13" s="9"/>
      <x:c r="L13" s="9"/>
      <x:c r="M13" s="9" t="str">
        <x:v>Offen</x:v>
      </x:c>
      <x:c r="N13" s="12"/>
      <x:c r="O13" s="9" t="str">
        <x:v>https://www.lego.com/de-de/product/nasa-artemis-space-launch-system-10341</x:v>
      </x:c>
      <x:c r="P13" s="9" t="str">
        <x:v>06.10.2026</x:v>
      </x:c>
      <x:c r="Q13" s="9" t="str">
        <x:v>Benötigt relativ viel Höhe; als Hintergrundobjekt einplanen.</x:v>
      </x:c>
    </x:row>
    <x:row r="14">
      <x:c r="A14" s="9" t="str">
        <x:v>B</x:v>
      </x:c>
      <x:c r="B14" s="9" t="str">
        <x:v>76439</x:v>
      </x:c>
      <x:c r="C14" s="9" t="str">
        <x:v>Ollivanders &amp; Madam Malkins Anzüge</x:v>
      </x:c>
      <x:c r="D14" s="9" t="str">
        <x:v>Fehlt</x:v>
      </x:c>
      <x:c r="E14" s="9" t="str">
        <x:v>Hogwarts / Zauberwelt</x:v>
      </x:c>
      <x:c r="F14" s="9" t="str">
        <x:v>Zwei zusätzliche Winkelgassen-Läden; macht die magische Vorstadt dichter und lebendiger.</x:v>
      </x:c>
      <x:c r="G14" s="12" t="n">
        <x:v>89.99</x:v>
      </x:c>
      <x:c r="H14" s="12" t="n">
        <x:v>89.99</x:v>
      </x:c>
      <x:c r="I14" s="9" t="str">
        <x:v>LEGO: nicht mehr auf Lager</x:v>
      </x:c>
      <x:c r="J14" s="9" t="n">
        <x:v>12</x:v>
      </x:c>
      <x:c r="K14" s="9" t="n">
        <x:v>11</x:v>
      </x:c>
      <x:c r="L14" s="9" t="n">
        <x:v>19</x:v>
      </x:c>
      <x:c r="M14" s="9" t="str">
        <x:v>Offen</x:v>
      </x:c>
      <x:c r="N14" s="12"/>
      <x:c r="O14" s="9" t="str">
        <x:v>https://www.lego.com/de-de/product/ollivanders-madam-malkins-robes-76439</x:v>
      </x:c>
      <x:c r="P14" s="9" t="str">
        <x:v>06.10.2026</x:v>
      </x:c>
      <x:c r="Q14" s="9" t="str">
        <x:v>Kann mit weiteren Winkelgassen-Läden kombiniert werden.</x:v>
      </x:c>
    </x:row>
    <x:row r="15">
      <x:c r="A15" s="9" t="str">
        <x:v>B</x:v>
      </x:c>
      <x:c r="B15" s="9" t="str">
        <x:v>76422</x:v>
      </x:c>
      <x:c r="C15" s="9" t="str">
        <x:v>Winkelgasse: Weasleys Zauberscherze</x:v>
      </x:c>
      <x:c r="D15" s="9" t="str">
        <x:v>Fehlt</x:v>
      </x:c>
      <x:c r="E15" s="9" t="str">
        <x:v>Hogwarts / Zauberwelt</x:v>
      </x:c>
      <x:c r="F15" s="9" t="str">
        <x:v>Farbiger Laden für den Übergang zwischen Hogwarts und der magischen Einkaufsstraße.</x:v>
      </x:c>
      <x:c r="G15" s="12"/>
      <x:c r="H15" s="12"/>
      <x:c r="I15" s="9" t="str">
        <x:v>Preis recherchieren</x:v>
      </x:c>
      <x:c r="J15" s="9"/>
      <x:c r="K15" s="9"/>
      <x:c r="L15" s="9"/>
      <x:c r="M15" s="9" t="str">
        <x:v>Offen</x:v>
      </x:c>
      <x:c r="N15" s="12"/>
      <x:c r="O15" s="9" t="str">
        <x:v>https://www.lego.com/de-de/search?q=76422</x:v>
      </x:c>
      <x:c r="P15" s="9" t="str">
        <x:v>06.10.2026</x:v>
      </x:c>
      <x:c r="Q15" s="9" t="str">
        <x:v>Vor Kauf aktuelle Verfügbarkeit und Preis prüfen.</x:v>
      </x:c>
    </x:row>
    <x:row r="16">
      <x:c r="A16" s="9" t="str">
        <x:v>B</x:v>
      </x:c>
      <x:c r="B16" s="9" t="str">
        <x:v>31109</x:v>
      </x:c>
      <x:c r="C16" s="9" t="str">
        <x:v>Piratenschiff</x:v>
      </x:c>
      <x:c r="D16" s="9" t="str">
        <x:v>Fehlt</x:v>
      </x:c>
      <x:c r="E16" s="9" t="str">
        <x:v>Hafen &amp; Piraten</x:v>
      </x:c>
      <x:c r="F16" s="9" t="str">
        <x:v>Flexibles zusätzliches Piratenschiff für die große Wasserfläche; kleinere Ergänzung zu 21322.</x:v>
      </x:c>
      <x:c r="G16" s="12"/>
      <x:c r="H16" s="12"/>
      <x:c r="I16" s="9" t="str">
        <x:v>Preis recherchieren</x:v>
      </x:c>
      <x:c r="J16" s="9"/>
      <x:c r="K16" s="9"/>
      <x:c r="L16" s="9"/>
      <x:c r="M16" s="9" t="str">
        <x:v>Offen</x:v>
      </x:c>
      <x:c r="N16" s="12"/>
      <x:c r="O16" s="9" t="str">
        <x:v>https://www.lego.com/de-de/search?q=31109</x:v>
      </x:c>
      <x:c r="P16" s="9" t="str">
        <x:v>06.10.2026</x:v>
      </x:c>
      <x:c r="Q16" s="9" t="str">
        <x:v>Gute Option, falls 21322 preislich zu hoch ist.</x:v>
      </x:c>
    </x:row>
    <x:row r="17">
      <x:c r="A17" s="9" t="str">
        <x:v>C</x:v>
      </x:c>
      <x:c r="B17" s="9" t="str">
        <x:v>31120</x:v>
      </x:c>
      <x:c r="C17" s="9" t="str">
        <x:v>Mittelalterliche Burg</x:v>
      </x:c>
      <x:c r="D17" s="9" t="str">
        <x:v>Fehlt</x:v>
      </x:c>
      <x:c r="E17" s="9" t="str">
        <x:v>Hogwarts / Landschaft</x:v>
      </x:c>
      <x:c r="F17" s="9" t="str">
        <x:v>Kann als kleinere Burg-/Ruinen-Szene in der erhöhten Landschaft rund um Hogwarts dienen.</x:v>
      </x:c>
      <x:c r="G17" s="12"/>
      <x:c r="H17" s="12"/>
      <x:c r="I17" s="9" t="str">
        <x:v>Preis recherchieren</x:v>
      </x:c>
      <x:c r="J17" s="9"/>
      <x:c r="K17" s="9"/>
      <x:c r="L17" s="9"/>
      <x:c r="M17" s="9" t="str">
        <x:v>Offen</x:v>
      </x:c>
      <x:c r="N17" s="12"/>
      <x:c r="O17" s="9" t="str">
        <x:v>https://www.lego.com/de-de/search?q=31120</x:v>
      </x:c>
      <x:c r="P17" s="9" t="str">
        <x:v>06.10.2026</x:v>
      </x:c>
      <x:c r="Q17" s="9" t="str">
        <x:v>Optional; optisch nur sinnvoll, wenn die Landschaft bewusst mittelalterlich erweitert wird.</x:v>
      </x:c>
    </x:row>
    <x:row r="18">
      <x:c r="A18" s="9" t="str">
        <x:v>C</x:v>
      </x:c>
      <x:c r="B18" s="9" t="str">
        <x:v>21044</x:v>
      </x:c>
      <x:c r="C18" s="9" t="str">
        <x:v>Paris</x:v>
      </x:c>
      <x:c r="D18" s="9" t="str">
        <x:v>Fehlt</x:v>
      </x:c>
      <x:c r="E18" s="9" t="str">
        <x:v>Weltpark / Architecture</x:v>
      </x:c>
      <x:c r="F18" s="9" t="str">
        <x:v>Kompakte Skyline mit Eiffelturm, Louvre und weiteren Wahrzeichen – ideal für den Weltpark.</x:v>
      </x:c>
      <x:c r="G18" s="12" t="n">
        <x:v>49.99</x:v>
      </x:c>
      <x:c r="H18" s="12" t="n">
        <x:v>49.99</x:v>
      </x:c>
      <x:c r="I18" s="9" t="str">
        <x:v>LEGO aktuell</x:v>
      </x:c>
      <x:c r="J18" s="9"/>
      <x:c r="K18" s="9"/>
      <x:c r="L18" s="9"/>
      <x:c r="M18" s="9" t="str">
        <x:v>Offen</x:v>
      </x:c>
      <x:c r="N18" s="12"/>
      <x:c r="O18" s="9" t="str">
        <x:v>https://www.lego.com/de-de/product/paris-21044</x:v>
      </x:c>
      <x:c r="P18" s="9" t="str">
        <x:v>06.10.2026</x:v>
      </x:c>
      <x:c r="Q18" s="9" t="str">
        <x:v>Kleine Stellfläche, daher leicht integrierbar.</x:v>
      </x:c>
    </x:row>
    <x:row r="19">
      <x:c r="A19" s="9" t="str">
        <x:v>C</x:v>
      </x:c>
      <x:c r="B19" s="9" t="str">
        <x:v>10307</x:v>
      </x:c>
      <x:c r="C19" s="9" t="str">
        <x:v>Eiffelturm</x:v>
      </x:c>
      <x:c r="D19" s="9" t="str">
        <x:v>Fehlt</x:v>
      </x:c>
      <x:c r="E19" s="9" t="str">
        <x:v>Weltpark / Architecture</x:v>
      </x:c>
      <x:c r="F19" s="9" t="str">
        <x:v>Extremes Wahrzeichen für einen großen Weltpark; nur sinnvoll, wenn bewusst ein sehr hoher Landmark-Punkt gewünscht ist.</x:v>
      </x:c>
      <x:c r="G19" s="12"/>
      <x:c r="H19" s="12"/>
      <x:c r="I19" s="9" t="str">
        <x:v>Preis recherchieren</x:v>
      </x:c>
      <x:c r="J19" s="9"/>
      <x:c r="K19" s="9"/>
      <x:c r="L19" s="9"/>
      <x:c r="M19" s="9" t="str">
        <x:v>Offen</x:v>
      </x:c>
      <x:c r="N19" s="12"/>
      <x:c r="O19" s="9" t="str">
        <x:v>https://www.lego.com/de-de/search?q=10307</x:v>
      </x:c>
      <x:c r="P19" s="9" t="str">
        <x:v>06.10.2026</x:v>
      </x:c>
      <x:c r="Q19" s="9" t="str">
        <x:v>Sehr groß und teuer; Priorität nur C, da du bereits einen kleineren Eiffelturm besitzt.</x:v>
      </x:c>
    </x:row>
    <x:row r="22">
      <x:c r="A22" s="175" t="str">
        <x:v>Budget- und Prioritätenübersicht</x:v>
      </x:c>
      <x:c r="B22" s="175"/>
      <x:c r="C22" s="175"/>
      <x:c r="D22" s="175"/>
      <x:c r="E22" s="175"/>
      <x:c r="F22" s="175"/>
    </x:row>
    <x:row r="23">
      <x:c r="A23" s="171" t="str">
        <x:v>Kennzahl</x:v>
      </x:c>
      <x:c r="B23" s="171" t="str">
        <x:v>Wert</x:v>
      </x:c>
      <x:c r="C23" s="171" t="str"/>
      <x:c r="D23" s="171" t="str">
        <x:v>Hinweis</x:v>
      </x:c>
      <x:c r="E23" s="171" t="str"/>
      <x:c r="F23" s="171" t="str"/>
    </x:row>
    <x:row r="24">
      <x:c r="A24" t="str">
        <x:v>Empfehlungen gesamt</x:v>
      </x:c>
      <x:c r="B24" s="176" t="n">
        <x:f>COUNTA(B5:B19)</x:f>
        <x:v>15</x:v>
      </x:c>
      <x:c r="C24" t="str"/>
      <x:c r="D24" t="str">
        <x:v>Nur nicht bestätigte Sets</x:v>
      </x:c>
      <x:c r="E24" t="str"/>
      <x:c r="F24" t="str"/>
    </x:row>
    <x:row r="25">
      <x:c r="A25" t="str">
        <x:v>Priorität A</x:v>
      </x:c>
      <x:c r="B25" s="176" t="n">
        <x:f>COUNTIF(A5:A19,"A")</x:f>
        <x:v>6</x:v>
      </x:c>
      <x:c r="C25" t="str"/>
      <x:c r="D25" t="str">
        <x:v>stärkste Ergänzungen</x:v>
      </x:c>
      <x:c r="E25" t="str"/>
      <x:c r="F25" t="str"/>
    </x:row>
    <x:row r="26">
      <x:c r="A26" t="str">
        <x:v>Priorität B</x:v>
      </x:c>
      <x:c r="B26" s="176" t="n">
        <x:f>COUNTIF(A5:A19,"B")</x:f>
        <x:v>6</x:v>
      </x:c>
      <x:c r="C26" t="str"/>
      <x:c r="D26" t="str">
        <x:v>gute Ergänzungen</x:v>
      </x:c>
      <x:c r="E26" t="str"/>
      <x:c r="F26" t="str"/>
    </x:row>
    <x:row r="27">
      <x:c r="A27" t="str">
        <x:v>Priorität C</x:v>
      </x:c>
      <x:c r="B27" s="176" t="n">
        <x:f>COUNTIF(A5:A19,"C")</x:f>
        <x:v>3</x:v>
      </x:c>
      <x:c r="C27" t="str"/>
      <x:c r="D27" t="str">
        <x:v>optional</x:v>
      </x:c>
      <x:c r="E27" t="str"/>
      <x:c r="F27" t="str"/>
    </x:row>
    <x:row r="28">
      <x:c r="A28" t="str">
        <x:v>Summe geplanter Budgets</x:v>
      </x:c>
      <x:c r="B28" s="29" t="n">
        <x:f>SUM(N5:N19)</x:f>
        <x:v>0</x:v>
      </x:c>
      <x:c r="C28" t="str"/>
      <x:c r="D28" t="str">
        <x:v>Eigene Budgeteinträge</x:v>
      </x:c>
      <x:c r="E28" t="str"/>
      <x:c r="F28" t="str"/>
    </x:row>
    <x:row r="29">
      <x:c r="A29" t="str">
        <x:v>Bereits gekauft</x:v>
      </x:c>
      <x:c r="B29" s="176" t="n">
        <x:f>COUNTIF(M5:M19,"Gekauft")</x:f>
        <x:v>0</x:v>
      </x:c>
      <x:c r="C29" t="str"/>
      <x:c r="D29" t="str">
        <x:v>wird beim Kauf aktualisiert</x:v>
      </x:c>
      <x:c r="E29" t="str"/>
      <x:c r="F29" t="str"/>
    </x:row>
  </x:sheetData>
  <x:mergeCells>
    <x:mergeCell ref="A1:Q1"/>
    <x:mergeCell ref="A2:Q2"/>
    <x:mergeCell ref="A22:F22"/>
  </x:mergeCells>
  <x:conditionalFormatting sqref="A5:A19">
    <x:cfRule type="expression" dxfId="17" priority="1">
      <x:formula>A5="A"</x:formula>
    </x:cfRule>
    <x:cfRule type="expression" dxfId="18" priority="2">
      <x:formula>A5="B"</x:formula>
    </x:cfRule>
    <x:cfRule type="expression" dxfId="19" priority="3">
      <x:formula>A5="C"</x:formula>
    </x:cfRule>
  </x:conditionalFormatting>
  <x:conditionalFormatting sqref="M5:M19">
    <x:cfRule type="expression" dxfId="20" priority="4">
      <x:formula>M5="Gekauft"</x:formula>
    </x:cfRule>
    <x:cfRule type="expression" dxfId="21" priority="5">
      <x:formula>M5="Bestellt"</x:formula>
    </x:cfRule>
  </x:conditionalFormatting>
  <x:dataValidations count="2">
    <x:dataValidation type="list" sqref="A5:A19">
      <x:formula1>"A,B,C"</x:formula1>
    </x:dataValidation>
    <x:dataValidation type="list" sqref="M5:M19">
      <x:formula1>"Offen,Beobachten,Bestellt,Gekauft,Verworfen"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4" max="4" width="2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78" t="str">
        <x:v>Verbindliche Referenz für Stadt, Zugplan, Bilder und App</x:v>
      </x:c>
      <x:c r="B1" s="178"/>
      <x:c r="C1" s="178"/>
      <x:c r="D1" s="178"/>
      <x:c r="E1" s="178"/>
      <x:c r="F1" s="178"/>
      <x:c r="G1" s="178"/>
      <x:c r="H1" s="178"/>
    </x:row>
    <x:row r="3">
      <x:c r="A3" s="172" t="str">
        <x:v>Bereich</x:v>
      </x:c>
      <x:c r="B3" s="172" t="str">
        <x:v>Festgelegte Position / Regel</x:v>
      </x:c>
      <x:c r="D3" s="171" t="str">
        <x:v>Aktueller Web-App-Stand</x:v>
      </x:c>
      <x:c r="E3" s="171"/>
      <x:c r="F3" s="171"/>
      <x:c r="G3" s="171"/>
      <x:c r="H3" s="171"/>
    </x:row>
    <x:row r="4">
      <x:c r="A4" s="9" t="str">
        <x:v>Weihnachtsdorf</x:v>
      </x:c>
      <x:c r="B4" s="9" t="str">
        <x:v>oben links</x:v>
      </x:c>
      <x:c r="D4" s="180" t="str">
        <x:v>Status</x:v>
      </x:c>
      <x:c r="E4" s="9" t="str">
        <x:v>Replit-Deployment meldet intern Erfolg, war auf dem iPhone aber weiterhin nicht erreichbar.</x:v>
      </x:c>
      <x:c r="F4" s="9"/>
      <x:c r="G4" s="9"/>
      <x:c r="H4" s="9"/>
    </x:row>
    <x:row r="5">
      <x:c r="A5" s="9" t="str">
        <x:v>Hauptbahnhof</x:v>
      </x:c>
      <x:c r="B5" s="9" t="str">
        <x:v>oben mittig</x:v>
      </x:c>
      <x:c r="D5" s="180" t="str">
        <x:v>Ursache</x:v>
      </x:c>
      <x:c r="E5" s="9" t="str">
        <x:v>Hosting/Deployment, nicht Bedienfehler auf dem iPhone.</x:v>
      </x:c>
      <x:c r="F5" s="9"/>
      <x:c r="G5" s="9"/>
      <x:c r="H5" s="9"/>
    </x:row>
    <x:row r="6">
      <x:c r="A6" s="9" t="str">
        <x:v>Hogwarts</x:v>
      </x:c>
      <x:c r="B6" s="9" t="str">
        <x:v>oben rechts</x:v>
      </x:c>
      <x:c r="D6" s="180" t="str">
        <x:v>Nächster sauberer Weg</x:v>
      </x:c>
      <x:c r="E6" s="9" t="str">
        <x:v>Statische PWA alternativ hosten; Sammlung per CSV/Excel importieren.</x:v>
      </x:c>
      <x:c r="F6" s="9"/>
      <x:c r="G6" s="9"/>
      <x:c r="H6" s="9"/>
    </x:row>
    <x:row r="7">
      <x:c r="A7" s="9" t="str">
        <x:v>Disney / Springfield</x:v>
      </x:c>
      <x:c r="B7" s="9" t="str">
        <x:v>rechts</x:v>
      </x:c>
      <x:c r="D7" s="180" t="str">
        <x:v>Datenquelle</x:v>
      </x:c>
      <x:c r="E7" s="9" t="str">
        <x:v>Master-Excel bleibt führende Datenbasis.</x:v>
      </x:c>
      <x:c r="F7" s="9"/>
      <x:c r="G7" s="9"/>
      <x:c r="H7" s="9"/>
    </x:row>
    <x:row r="8">
      <x:c r="A8" s="9" t="str">
        <x:v>Hafen &amp; Piraten</x:v>
      </x:c>
      <x:c r="B8" s="9" t="str">
        <x:v>links unten / große Wasserfläche</x:v>
      </x:c>
      <x:c r="D8" s="180" t="str">
        <x:v>Wichtig</x:v>
      </x:c>
      <x:c r="E8" s="9" t="str">
        <x:v>Neue Käufe zuerst in Sammlung eintragen bzw. später über die App synchronisieren.</x:v>
      </x:c>
      <x:c r="F8" s="9"/>
      <x:c r="G8" s="9"/>
      <x:c r="H8" s="9"/>
    </x:row>
    <x:row r="9">
      <x:c r="A9" s="9" t="str">
        <x:v>Innenstadt</x:v>
      </x:c>
      <x:c r="B9" s="9" t="str">
        <x:v>unten mittig</x:v>
      </x:c>
    </x:row>
    <x:row r="10">
      <x:c r="A10" s="9" t="str">
        <x:v>Weltpark / Botanik</x:v>
      </x:c>
      <x:c r="B10" s="9" t="str">
        <x:v>unten rechts</x:v>
      </x:c>
    </x:row>
    <x:row r="11">
      <x:c r="A11" s="9" t="str">
        <x:v>Zentrale freie Fläche</x:v>
      </x:c>
      <x:c r="B11" s="9" t="str">
        <x:v>muss als offene Betriebs-/Zugriffsfläche erhalten bleiben</x:v>
      </x:c>
    </x:row>
    <x:row r="12">
      <x:c r="A12" s="9" t="str">
        <x:v>Gleisführung</x:v>
      </x:c>
      <x:c r="B12" s="9" t="str">
        <x:v>umlaufend um die zentrale freie Fläche; Hauptbahnhof als zentraler Knoten</x:v>
      </x:c>
    </x:row>
  </x:sheetData>
  <x:mergeCells>
    <x:mergeCell ref="A1:H1"/>
    <x:mergeCell ref="D3:H3"/>
  </x:mergeCells>
  <x:pageMargins left="0.7" right="0.7" top="0.75" bottom="0.75" header="0.3" footer="0.3"/>
</x:worksheet>
</file>